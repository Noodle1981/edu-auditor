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10" windowWidth="28215" windowHeight="11955"/>
  </bookViews>
  <sheets>
    <sheet name="tabla_edificios_radios" sheetId="1" r:id="rId1"/>
  </sheets>
  <definedNames>
    <definedName name="_xlnm._FilterDatabase" localSheetId="0" hidden="1">tabla_edificios_radios!$A$1:$R$442</definedName>
  </definedNames>
  <calcPr calcId="124519"/>
  <extLst>
    <ext uri="GoogleSheetsCustomDataVersion2">
      <go:sheetsCustomData xmlns:go="http://customooxmlschemas.google.com/" r:id="rId5" roundtripDataChecksum="+v3sXOlu2JEOug55zlDPIQjkF2FgDf9O4870Hbi0mIs="/>
    </ext>
  </extLst>
</workbook>
</file>

<file path=xl/calcChain.xml><?xml version="1.0" encoding="utf-8"?>
<calcChain xmlns="http://schemas.openxmlformats.org/spreadsheetml/2006/main">
  <c r="L442" i="1"/>
  <c r="J442"/>
  <c r="O442" s="1"/>
  <c r="L441"/>
  <c r="J441"/>
  <c r="O441" s="1"/>
  <c r="L440"/>
  <c r="J440"/>
  <c r="O440" s="1"/>
  <c r="L439"/>
  <c r="J439"/>
  <c r="O439" s="1"/>
  <c r="L438"/>
  <c r="J438"/>
  <c r="L437"/>
  <c r="J437"/>
  <c r="O437" s="1"/>
  <c r="L436"/>
  <c r="O436" s="1"/>
  <c r="J436"/>
  <c r="L435"/>
  <c r="O435" s="1"/>
  <c r="J435"/>
  <c r="L434"/>
  <c r="J434"/>
  <c r="O434" s="1"/>
  <c r="O433"/>
  <c r="L433"/>
  <c r="J433"/>
  <c r="L432"/>
  <c r="J432"/>
  <c r="O432" s="1"/>
  <c r="L431"/>
  <c r="J431"/>
  <c r="O431" s="1"/>
  <c r="L430"/>
  <c r="O430" s="1"/>
  <c r="J430"/>
  <c r="L429"/>
  <c r="J429"/>
  <c r="L428"/>
  <c r="O428" s="1"/>
  <c r="J428"/>
  <c r="L427"/>
  <c r="J427"/>
  <c r="O427" s="1"/>
  <c r="L426"/>
  <c r="J426"/>
  <c r="O426" s="1"/>
  <c r="O425"/>
  <c r="L425"/>
  <c r="J425"/>
  <c r="L424"/>
  <c r="J424"/>
  <c r="O424" s="1"/>
  <c r="L423"/>
  <c r="J423"/>
  <c r="O423" s="1"/>
  <c r="L422"/>
  <c r="O422" s="1"/>
  <c r="J422"/>
  <c r="L421"/>
  <c r="J421"/>
  <c r="O421" s="1"/>
  <c r="L420"/>
  <c r="O420" s="1"/>
  <c r="J420"/>
  <c r="L419"/>
  <c r="J419"/>
  <c r="O419" s="1"/>
  <c r="L418"/>
  <c r="J418"/>
  <c r="O418" s="1"/>
  <c r="O417"/>
  <c r="L417"/>
  <c r="J417"/>
  <c r="L416"/>
  <c r="J416"/>
  <c r="O416" s="1"/>
  <c r="L415"/>
  <c r="J415"/>
  <c r="O415" s="1"/>
  <c r="L414"/>
  <c r="O414" s="1"/>
  <c r="J414"/>
  <c r="L413"/>
  <c r="J413"/>
  <c r="L412"/>
  <c r="O412" s="1"/>
  <c r="J412"/>
  <c r="L411"/>
  <c r="J411"/>
  <c r="O411" s="1"/>
  <c r="L410"/>
  <c r="J410"/>
  <c r="O410" s="1"/>
  <c r="O409"/>
  <c r="L409"/>
  <c r="J409"/>
  <c r="L408"/>
  <c r="J408"/>
  <c r="O408" s="1"/>
  <c r="L407"/>
  <c r="J407"/>
  <c r="O407" s="1"/>
  <c r="L406"/>
  <c r="O406" s="1"/>
  <c r="J406"/>
  <c r="L405"/>
  <c r="J405"/>
  <c r="O405" s="1"/>
  <c r="L404"/>
  <c r="O404" s="1"/>
  <c r="J404"/>
  <c r="L403"/>
  <c r="J403"/>
  <c r="O403" s="1"/>
  <c r="L402"/>
  <c r="J402"/>
  <c r="O402" s="1"/>
  <c r="O401"/>
  <c r="L401"/>
  <c r="J401"/>
  <c r="L400"/>
  <c r="J400"/>
  <c r="O400" s="1"/>
  <c r="L399"/>
  <c r="J399"/>
  <c r="L398"/>
  <c r="O398" s="1"/>
  <c r="J398"/>
  <c r="L397"/>
  <c r="J397"/>
  <c r="O396"/>
  <c r="L396"/>
  <c r="J396"/>
  <c r="L395"/>
  <c r="J395"/>
  <c r="L394"/>
  <c r="J394"/>
  <c r="O394" s="1"/>
  <c r="L393"/>
  <c r="J393"/>
  <c r="L392"/>
  <c r="J392"/>
  <c r="O392" s="1"/>
  <c r="O391"/>
  <c r="L391"/>
  <c r="J391"/>
  <c r="L390"/>
  <c r="O390" s="1"/>
  <c r="J390"/>
  <c r="L389"/>
  <c r="J389"/>
  <c r="O389" s="1"/>
  <c r="O388"/>
  <c r="L388"/>
  <c r="J388"/>
  <c r="L387"/>
  <c r="J387"/>
  <c r="L386"/>
  <c r="J386"/>
  <c r="O386" s="1"/>
  <c r="L385"/>
  <c r="J385"/>
  <c r="L384"/>
  <c r="J384"/>
  <c r="L383"/>
  <c r="J383"/>
  <c r="O383" s="1"/>
  <c r="L382"/>
  <c r="J382"/>
  <c r="L381"/>
  <c r="O381" s="1"/>
  <c r="J381"/>
  <c r="L380"/>
  <c r="J380"/>
  <c r="O380" s="1"/>
  <c r="L379"/>
  <c r="J379"/>
  <c r="O379" s="1"/>
  <c r="L378"/>
  <c r="J378"/>
  <c r="L377"/>
  <c r="J377"/>
  <c r="O377" s="1"/>
  <c r="L376"/>
  <c r="J376"/>
  <c r="L375"/>
  <c r="J375"/>
  <c r="O375" s="1"/>
  <c r="L374"/>
  <c r="J374"/>
  <c r="L373"/>
  <c r="O373" s="1"/>
  <c r="J373"/>
  <c r="L372"/>
  <c r="J372"/>
  <c r="O372" s="1"/>
  <c r="L371"/>
  <c r="J371"/>
  <c r="O371" s="1"/>
  <c r="L370"/>
  <c r="J370"/>
  <c r="L369"/>
  <c r="J369"/>
  <c r="O369" s="1"/>
  <c r="L368"/>
  <c r="O368" s="1"/>
  <c r="J368"/>
  <c r="L367"/>
  <c r="J367"/>
  <c r="L366"/>
  <c r="O366" s="1"/>
  <c r="J366"/>
  <c r="L365"/>
  <c r="J365"/>
  <c r="O365" s="1"/>
  <c r="L364"/>
  <c r="J364"/>
  <c r="L363"/>
  <c r="O363" s="1"/>
  <c r="J363"/>
  <c r="L362"/>
  <c r="J362"/>
  <c r="O362" s="1"/>
  <c r="O361"/>
  <c r="L361"/>
  <c r="J361"/>
  <c r="L360"/>
  <c r="J360"/>
  <c r="L359"/>
  <c r="J359"/>
  <c r="O359" s="1"/>
  <c r="L358"/>
  <c r="J358"/>
  <c r="L357"/>
  <c r="J357"/>
  <c r="O357" s="1"/>
  <c r="L356"/>
  <c r="O356" s="1"/>
  <c r="J356"/>
  <c r="L355"/>
  <c r="J355"/>
  <c r="O355" s="1"/>
  <c r="L354"/>
  <c r="J354"/>
  <c r="O354" s="1"/>
  <c r="L353"/>
  <c r="O353" s="1"/>
  <c r="J353"/>
  <c r="L352"/>
  <c r="J352"/>
  <c r="L351"/>
  <c r="J351"/>
  <c r="L350"/>
  <c r="O350" s="1"/>
  <c r="J350"/>
  <c r="O349"/>
  <c r="L349"/>
  <c r="J349"/>
  <c r="L348"/>
  <c r="J348"/>
  <c r="L347"/>
  <c r="J347"/>
  <c r="O347" s="1"/>
  <c r="L346"/>
  <c r="J346"/>
  <c r="L345"/>
  <c r="J345"/>
  <c r="O345" s="1"/>
  <c r="L344"/>
  <c r="J344"/>
  <c r="L343"/>
  <c r="J343"/>
  <c r="O343" s="1"/>
  <c r="L342"/>
  <c r="J342"/>
  <c r="L341"/>
  <c r="O341" s="1"/>
  <c r="J341"/>
  <c r="L340"/>
  <c r="O340" s="1"/>
  <c r="J340"/>
  <c r="O339"/>
  <c r="L339"/>
  <c r="J339"/>
  <c r="L338"/>
  <c r="J338"/>
  <c r="O338" s="1"/>
  <c r="L337"/>
  <c r="J337"/>
  <c r="L336"/>
  <c r="O336" s="1"/>
  <c r="J336"/>
  <c r="L335"/>
  <c r="J335"/>
  <c r="O335" s="1"/>
  <c r="O334"/>
  <c r="L334"/>
  <c r="J334"/>
  <c r="L333"/>
  <c r="J333"/>
  <c r="L332"/>
  <c r="J332"/>
  <c r="O332" s="1"/>
  <c r="L331"/>
  <c r="J331"/>
  <c r="L330"/>
  <c r="J330"/>
  <c r="O330" s="1"/>
  <c r="L329"/>
  <c r="O329" s="1"/>
  <c r="J329"/>
  <c r="L328"/>
  <c r="J328"/>
  <c r="O328" s="1"/>
  <c r="L327"/>
  <c r="J327"/>
  <c r="O327" s="1"/>
  <c r="L326"/>
  <c r="O326" s="1"/>
  <c r="J326"/>
  <c r="L325"/>
  <c r="J325"/>
  <c r="L324"/>
  <c r="J324"/>
  <c r="L323"/>
  <c r="O323" s="1"/>
  <c r="J323"/>
  <c r="O322"/>
  <c r="L322"/>
  <c r="J322"/>
  <c r="L321"/>
  <c r="J321"/>
  <c r="L320"/>
  <c r="J320"/>
  <c r="O320" s="1"/>
  <c r="L319"/>
  <c r="J319"/>
  <c r="L318"/>
  <c r="J318"/>
  <c r="O318" s="1"/>
  <c r="L317"/>
  <c r="J317"/>
  <c r="L316"/>
  <c r="J316"/>
  <c r="O316" s="1"/>
  <c r="L315"/>
  <c r="J315"/>
  <c r="L314"/>
  <c r="O314" s="1"/>
  <c r="J314"/>
  <c r="L313"/>
  <c r="O313" s="1"/>
  <c r="J313"/>
  <c r="O312"/>
  <c r="L312"/>
  <c r="J312"/>
  <c r="L311"/>
  <c r="J311"/>
  <c r="O311" s="1"/>
  <c r="L310"/>
  <c r="J310"/>
  <c r="O310" s="1"/>
  <c r="L309"/>
  <c r="O309" s="1"/>
  <c r="J309"/>
  <c r="L308"/>
  <c r="J308"/>
  <c r="O308" s="1"/>
  <c r="L307"/>
  <c r="J307"/>
  <c r="L306"/>
  <c r="J306"/>
  <c r="O306" s="1"/>
  <c r="L305"/>
  <c r="J305"/>
  <c r="L304"/>
  <c r="O304" s="1"/>
  <c r="J304"/>
  <c r="L303"/>
  <c r="J303"/>
  <c r="O302"/>
  <c r="L302"/>
  <c r="J302"/>
  <c r="L301"/>
  <c r="J301"/>
  <c r="L300"/>
  <c r="J300"/>
  <c r="O300" s="1"/>
  <c r="L299"/>
  <c r="J299"/>
  <c r="O299" s="1"/>
  <c r="L298"/>
  <c r="J298"/>
  <c r="O298" s="1"/>
  <c r="L297"/>
  <c r="O297" s="1"/>
  <c r="J297"/>
  <c r="L296"/>
  <c r="J296"/>
  <c r="O296" s="1"/>
  <c r="L295"/>
  <c r="J295"/>
  <c r="O295" s="1"/>
  <c r="L294"/>
  <c r="O294" s="1"/>
  <c r="J294"/>
  <c r="L293"/>
  <c r="O293" s="1"/>
  <c r="J293"/>
  <c r="L292"/>
  <c r="J292"/>
  <c r="L291"/>
  <c r="J291"/>
  <c r="O291" s="1"/>
  <c r="O290"/>
  <c r="L290"/>
  <c r="J290"/>
  <c r="L289"/>
  <c r="J289"/>
  <c r="L288"/>
  <c r="J288"/>
  <c r="O288" s="1"/>
  <c r="L287"/>
  <c r="J287"/>
  <c r="L286"/>
  <c r="J286"/>
  <c r="O286" s="1"/>
  <c r="L285"/>
  <c r="J285"/>
  <c r="L284"/>
  <c r="J284"/>
  <c r="O284" s="1"/>
  <c r="L283"/>
  <c r="J283"/>
  <c r="O283" s="1"/>
  <c r="L282"/>
  <c r="O282" s="1"/>
  <c r="J282"/>
  <c r="L281"/>
  <c r="J281"/>
  <c r="O280"/>
  <c r="L280"/>
  <c r="J280"/>
  <c r="L279"/>
  <c r="J279"/>
  <c r="O279" s="1"/>
  <c r="L278"/>
  <c r="J278"/>
  <c r="O278" s="1"/>
  <c r="L277"/>
  <c r="O277" s="1"/>
  <c r="J277"/>
  <c r="L276"/>
  <c r="J276"/>
  <c r="L275"/>
  <c r="J275"/>
  <c r="L274"/>
  <c r="J274"/>
  <c r="O274" s="1"/>
  <c r="L273"/>
  <c r="J273"/>
  <c r="L272"/>
  <c r="O272" s="1"/>
  <c r="J272"/>
  <c r="L271"/>
  <c r="J271"/>
  <c r="O271" s="1"/>
  <c r="O270"/>
  <c r="L270"/>
  <c r="J270"/>
  <c r="L269"/>
  <c r="J269"/>
  <c r="L268"/>
  <c r="J268"/>
  <c r="O268" s="1"/>
  <c r="L267"/>
  <c r="J267"/>
  <c r="O267" s="1"/>
  <c r="L266"/>
  <c r="J266"/>
  <c r="O266" s="1"/>
  <c r="L265"/>
  <c r="O265" s="1"/>
  <c r="J265"/>
  <c r="L264"/>
  <c r="J264"/>
  <c r="O264" s="1"/>
  <c r="L263"/>
  <c r="J263"/>
  <c r="O263" s="1"/>
  <c r="L262"/>
  <c r="O262" s="1"/>
  <c r="J262"/>
  <c r="L261"/>
  <c r="J261"/>
  <c r="L260"/>
  <c r="J260"/>
  <c r="L259"/>
  <c r="J259"/>
  <c r="O258"/>
  <c r="L258"/>
  <c r="J258"/>
  <c r="L257"/>
  <c r="J257"/>
  <c r="L256"/>
  <c r="J256"/>
  <c r="O256" s="1"/>
  <c r="L255"/>
  <c r="J255"/>
  <c r="L254"/>
  <c r="J254"/>
  <c r="O254" s="1"/>
  <c r="L253"/>
  <c r="J253"/>
  <c r="L252"/>
  <c r="J252"/>
  <c r="O252" s="1"/>
  <c r="L251"/>
  <c r="J251"/>
  <c r="O251" s="1"/>
  <c r="L250"/>
  <c r="O250" s="1"/>
  <c r="J250"/>
  <c r="L249"/>
  <c r="O249" s="1"/>
  <c r="J249"/>
  <c r="O248"/>
  <c r="L248"/>
  <c r="J248"/>
  <c r="L247"/>
  <c r="J247"/>
  <c r="O247" s="1"/>
  <c r="L246"/>
  <c r="J246"/>
  <c r="O246" s="1"/>
  <c r="L245"/>
  <c r="O245" s="1"/>
  <c r="J245"/>
  <c r="L244"/>
  <c r="J244"/>
  <c r="O244" s="1"/>
  <c r="L243"/>
  <c r="J243"/>
  <c r="L242"/>
  <c r="J242"/>
  <c r="O242" s="1"/>
  <c r="L241"/>
  <c r="J241"/>
  <c r="L240"/>
  <c r="O240" s="1"/>
  <c r="J240"/>
  <c r="L239"/>
  <c r="J239"/>
  <c r="O238"/>
  <c r="L238"/>
  <c r="J238"/>
  <c r="L237"/>
  <c r="J237"/>
  <c r="L236"/>
  <c r="J236"/>
  <c r="O236" s="1"/>
  <c r="L235"/>
  <c r="J235"/>
  <c r="O235" s="1"/>
  <c r="L234"/>
  <c r="J234"/>
  <c r="O234" s="1"/>
  <c r="L233"/>
  <c r="O233" s="1"/>
  <c r="J233"/>
  <c r="L232"/>
  <c r="J232"/>
  <c r="O232" s="1"/>
  <c r="L231"/>
  <c r="J231"/>
  <c r="O231" s="1"/>
  <c r="L230"/>
  <c r="O230" s="1"/>
  <c r="J230"/>
  <c r="L229"/>
  <c r="O229" s="1"/>
  <c r="J229"/>
  <c r="L228"/>
  <c r="J228"/>
  <c r="L227"/>
  <c r="J227"/>
  <c r="O227" s="1"/>
  <c r="O226"/>
  <c r="L226"/>
  <c r="J226"/>
  <c r="L225"/>
  <c r="J225"/>
  <c r="L224"/>
  <c r="J224"/>
  <c r="O224" s="1"/>
  <c r="L223"/>
  <c r="J223"/>
  <c r="L222"/>
  <c r="J222"/>
  <c r="O222" s="1"/>
  <c r="L221"/>
  <c r="J221"/>
  <c r="L220"/>
  <c r="J220"/>
  <c r="O220" s="1"/>
  <c r="L219"/>
  <c r="J219"/>
  <c r="O219" s="1"/>
  <c r="L218"/>
  <c r="O218" s="1"/>
  <c r="J218"/>
  <c r="L217"/>
  <c r="J217"/>
  <c r="O216"/>
  <c r="L216"/>
  <c r="J216"/>
  <c r="L215"/>
  <c r="J215"/>
  <c r="O215" s="1"/>
  <c r="L214"/>
  <c r="J214"/>
  <c r="O214" s="1"/>
  <c r="L213"/>
  <c r="O213" s="1"/>
  <c r="J213"/>
  <c r="L212"/>
  <c r="J212"/>
  <c r="L211"/>
  <c r="J211"/>
  <c r="L210"/>
  <c r="J210"/>
  <c r="O210" s="1"/>
  <c r="L209"/>
  <c r="J209"/>
  <c r="L208"/>
  <c r="O208" s="1"/>
  <c r="J208"/>
  <c r="L207"/>
  <c r="J207"/>
  <c r="O207" s="1"/>
  <c r="O206"/>
  <c r="L206"/>
  <c r="J206"/>
  <c r="L205"/>
  <c r="J205"/>
  <c r="L204"/>
  <c r="J204"/>
  <c r="O204" s="1"/>
  <c r="L203"/>
  <c r="J203"/>
  <c r="O203" s="1"/>
  <c r="L202"/>
  <c r="J202"/>
  <c r="O202" s="1"/>
  <c r="L201"/>
  <c r="O201" s="1"/>
  <c r="J201"/>
  <c r="L200"/>
  <c r="J200"/>
  <c r="O200" s="1"/>
  <c r="L199"/>
  <c r="J199"/>
  <c r="O199" s="1"/>
  <c r="L198"/>
  <c r="O198" s="1"/>
  <c r="J198"/>
  <c r="L197"/>
  <c r="J197"/>
  <c r="L196"/>
  <c r="J196"/>
  <c r="L195"/>
  <c r="J195"/>
  <c r="O194"/>
  <c r="L194"/>
  <c r="J194"/>
  <c r="L193"/>
  <c r="J193"/>
  <c r="L192"/>
  <c r="J192"/>
  <c r="O192" s="1"/>
  <c r="L191"/>
  <c r="J191"/>
  <c r="L190"/>
  <c r="J190"/>
  <c r="O190" s="1"/>
  <c r="L189"/>
  <c r="J189"/>
  <c r="L188"/>
  <c r="J188"/>
  <c r="O188" s="1"/>
  <c r="L187"/>
  <c r="J187"/>
  <c r="O187" s="1"/>
  <c r="L186"/>
  <c r="O186" s="1"/>
  <c r="J186"/>
  <c r="L185"/>
  <c r="O185" s="1"/>
  <c r="J185"/>
  <c r="O184"/>
  <c r="L184"/>
  <c r="J184"/>
  <c r="L183"/>
  <c r="J183"/>
  <c r="O183" s="1"/>
  <c r="L182"/>
  <c r="J182"/>
  <c r="O182" s="1"/>
  <c r="L181"/>
  <c r="O181" s="1"/>
  <c r="J181"/>
  <c r="L180"/>
  <c r="J180"/>
  <c r="O180" s="1"/>
  <c r="L179"/>
  <c r="J179"/>
  <c r="L178"/>
  <c r="J178"/>
  <c r="O178" s="1"/>
  <c r="L177"/>
  <c r="J177"/>
  <c r="L176"/>
  <c r="O176" s="1"/>
  <c r="J176"/>
  <c r="L175"/>
  <c r="J175"/>
  <c r="O174"/>
  <c r="L174"/>
  <c r="J174"/>
  <c r="L173"/>
  <c r="J173"/>
  <c r="L172"/>
  <c r="J172"/>
  <c r="O172" s="1"/>
  <c r="L171"/>
  <c r="J171"/>
  <c r="O171" s="1"/>
  <c r="L170"/>
  <c r="J170"/>
  <c r="O170" s="1"/>
  <c r="L169"/>
  <c r="O169" s="1"/>
  <c r="J169"/>
  <c r="L168"/>
  <c r="J168"/>
  <c r="O168" s="1"/>
  <c r="L167"/>
  <c r="J167"/>
  <c r="O167" s="1"/>
  <c r="L166"/>
  <c r="O166" s="1"/>
  <c r="J166"/>
  <c r="L165"/>
  <c r="O165" s="1"/>
  <c r="J165"/>
  <c r="L164"/>
  <c r="J164"/>
  <c r="L163"/>
  <c r="J163"/>
  <c r="O163" s="1"/>
  <c r="O162"/>
  <c r="L162"/>
  <c r="J162"/>
  <c r="L161"/>
  <c r="J161"/>
  <c r="L160"/>
  <c r="J160"/>
  <c r="O160" s="1"/>
  <c r="L159"/>
  <c r="J159"/>
  <c r="L158"/>
  <c r="J158"/>
  <c r="O158" s="1"/>
  <c r="L157"/>
  <c r="J157"/>
  <c r="L156"/>
  <c r="J156"/>
  <c r="O156" s="1"/>
  <c r="L155"/>
  <c r="J155"/>
  <c r="O155" s="1"/>
  <c r="L154"/>
  <c r="O154" s="1"/>
  <c r="J154"/>
  <c r="L153"/>
  <c r="J153"/>
  <c r="O152"/>
  <c r="L152"/>
  <c r="J152"/>
  <c r="L151"/>
  <c r="J151"/>
  <c r="O151" s="1"/>
  <c r="L150"/>
  <c r="J150"/>
  <c r="O150" s="1"/>
  <c r="L149"/>
  <c r="O149" s="1"/>
  <c r="J149"/>
  <c r="L148"/>
  <c r="J148"/>
  <c r="L147"/>
  <c r="J147"/>
  <c r="L146"/>
  <c r="J146"/>
  <c r="O146" s="1"/>
  <c r="L145"/>
  <c r="J145"/>
  <c r="L144"/>
  <c r="O144" s="1"/>
  <c r="J144"/>
  <c r="L143"/>
  <c r="J143"/>
  <c r="O143" s="1"/>
  <c r="O142"/>
  <c r="L142"/>
  <c r="J142"/>
  <c r="L141"/>
  <c r="J141"/>
  <c r="L140"/>
  <c r="J140"/>
  <c r="O140" s="1"/>
  <c r="L139"/>
  <c r="J139"/>
  <c r="O139" s="1"/>
  <c r="L138"/>
  <c r="J138"/>
  <c r="O138" s="1"/>
  <c r="L137"/>
  <c r="O137" s="1"/>
  <c r="J137"/>
  <c r="L136"/>
  <c r="J136"/>
  <c r="O136" s="1"/>
  <c r="L135"/>
  <c r="J135"/>
  <c r="O135" s="1"/>
  <c r="L134"/>
  <c r="O134" s="1"/>
  <c r="J134"/>
  <c r="L133"/>
  <c r="J133"/>
  <c r="L132"/>
  <c r="J132"/>
  <c r="L131"/>
  <c r="J131"/>
  <c r="O130"/>
  <c r="L130"/>
  <c r="J130"/>
  <c r="O129"/>
  <c r="O128"/>
  <c r="L128"/>
  <c r="J128"/>
  <c r="L127"/>
  <c r="J127"/>
  <c r="L126"/>
  <c r="J126"/>
  <c r="O126" s="1"/>
  <c r="L125"/>
  <c r="J125"/>
  <c r="O125" s="1"/>
  <c r="L124"/>
  <c r="J124"/>
  <c r="O124" s="1"/>
  <c r="L123"/>
  <c r="O123" s="1"/>
  <c r="J123"/>
  <c r="L122"/>
  <c r="J122"/>
  <c r="O122" s="1"/>
  <c r="L121"/>
  <c r="J121"/>
  <c r="O121" s="1"/>
  <c r="L120"/>
  <c r="O120" s="1"/>
  <c r="J120"/>
  <c r="L119"/>
  <c r="J119"/>
  <c r="L118"/>
  <c r="J118"/>
  <c r="L117"/>
  <c r="J117"/>
  <c r="O116"/>
  <c r="L116"/>
  <c r="J116"/>
  <c r="L115"/>
  <c r="O115" s="1"/>
  <c r="J115"/>
  <c r="L114"/>
  <c r="J114"/>
  <c r="O114" s="1"/>
  <c r="L113"/>
  <c r="J113"/>
  <c r="L112"/>
  <c r="J112"/>
  <c r="O112" s="1"/>
  <c r="L111"/>
  <c r="J111"/>
  <c r="L110"/>
  <c r="J110"/>
  <c r="O110" s="1"/>
  <c r="L109"/>
  <c r="J109"/>
  <c r="O109" s="1"/>
  <c r="O108"/>
  <c r="L108"/>
  <c r="J108"/>
  <c r="L107"/>
  <c r="O107" s="1"/>
  <c r="J107"/>
  <c r="O106"/>
  <c r="L106"/>
  <c r="J106"/>
  <c r="L105"/>
  <c r="J105"/>
  <c r="L104"/>
  <c r="J104"/>
  <c r="O104" s="1"/>
  <c r="L103"/>
  <c r="O103" s="1"/>
  <c r="J103"/>
  <c r="L102"/>
  <c r="J102"/>
  <c r="O102" s="1"/>
  <c r="L101"/>
  <c r="J101"/>
  <c r="L100"/>
  <c r="J100"/>
  <c r="O100" s="1"/>
  <c r="L99"/>
  <c r="J99"/>
  <c r="O98"/>
  <c r="L98"/>
  <c r="J98"/>
  <c r="L97"/>
  <c r="J97"/>
  <c r="L96"/>
  <c r="J96"/>
  <c r="L95"/>
  <c r="J95"/>
  <c r="L94"/>
  <c r="J94"/>
  <c r="L93"/>
  <c r="J93"/>
  <c r="O92"/>
  <c r="L92"/>
  <c r="J92"/>
  <c r="L91"/>
  <c r="O91" s="1"/>
  <c r="J91"/>
  <c r="L90"/>
  <c r="J90"/>
  <c r="O90" s="1"/>
  <c r="L89"/>
  <c r="J89"/>
  <c r="L88"/>
  <c r="J88"/>
  <c r="O88" s="1"/>
  <c r="L87"/>
  <c r="O87" s="1"/>
  <c r="J87"/>
  <c r="L86"/>
  <c r="J86"/>
  <c r="L85"/>
  <c r="J85"/>
  <c r="L84"/>
  <c r="J84"/>
  <c r="O84" s="1"/>
  <c r="L83"/>
  <c r="J83"/>
  <c r="L82"/>
  <c r="O82" s="1"/>
  <c r="J82"/>
  <c r="L81"/>
  <c r="J81"/>
  <c r="O81" s="1"/>
  <c r="L80"/>
  <c r="J80"/>
  <c r="L79"/>
  <c r="O79" s="1"/>
  <c r="J79"/>
  <c r="L78"/>
  <c r="J78"/>
  <c r="L77"/>
  <c r="J77"/>
  <c r="O77" s="1"/>
  <c r="O76"/>
  <c r="L76"/>
  <c r="J76"/>
  <c r="L75"/>
  <c r="J75"/>
  <c r="L74"/>
  <c r="J74"/>
  <c r="O74" s="1"/>
  <c r="L73"/>
  <c r="J73"/>
  <c r="L72"/>
  <c r="J72"/>
  <c r="L71"/>
  <c r="O71" s="1"/>
  <c r="J71"/>
  <c r="L70"/>
  <c r="J70"/>
  <c r="O70" s="1"/>
  <c r="L69"/>
  <c r="J69"/>
  <c r="L68"/>
  <c r="J68"/>
  <c r="O68" s="1"/>
  <c r="L67"/>
  <c r="J67"/>
  <c r="O66"/>
  <c r="L66"/>
  <c r="J66"/>
  <c r="L65"/>
  <c r="J65"/>
  <c r="L64"/>
  <c r="J64"/>
  <c r="L63"/>
  <c r="J63"/>
  <c r="L62"/>
  <c r="J62"/>
  <c r="L61"/>
  <c r="J61"/>
  <c r="O60"/>
  <c r="L60"/>
  <c r="J60"/>
  <c r="L59"/>
  <c r="O59" s="1"/>
  <c r="J59"/>
  <c r="L58"/>
  <c r="J58"/>
  <c r="O58" s="1"/>
  <c r="L57"/>
  <c r="J57"/>
  <c r="L56"/>
  <c r="J56"/>
  <c r="O56" s="1"/>
  <c r="L55"/>
  <c r="O55" s="1"/>
  <c r="J55"/>
  <c r="L54"/>
  <c r="J54"/>
  <c r="L53"/>
  <c r="J53"/>
  <c r="L52"/>
  <c r="J52"/>
  <c r="O52" s="1"/>
  <c r="L51"/>
  <c r="J51"/>
  <c r="L50"/>
  <c r="J50"/>
  <c r="L49"/>
  <c r="J49"/>
  <c r="O49" s="1"/>
  <c r="L48"/>
  <c r="O48" s="1"/>
  <c r="J48"/>
  <c r="O47"/>
  <c r="L47"/>
  <c r="J47"/>
  <c r="L46"/>
  <c r="J46"/>
  <c r="O46" s="1"/>
  <c r="L45"/>
  <c r="J45"/>
  <c r="L44"/>
  <c r="J44"/>
  <c r="L43"/>
  <c r="J43"/>
  <c r="O43" s="1"/>
  <c r="L42"/>
  <c r="J42"/>
  <c r="O42" s="1"/>
  <c r="O41"/>
  <c r="L41"/>
  <c r="J41"/>
  <c r="L40"/>
  <c r="O40" s="1"/>
  <c r="J40"/>
  <c r="O39"/>
  <c r="L39"/>
  <c r="J39"/>
  <c r="L38"/>
  <c r="J38"/>
  <c r="L37"/>
  <c r="J37"/>
  <c r="O37" s="1"/>
  <c r="L36"/>
  <c r="J36"/>
  <c r="L35"/>
  <c r="J35"/>
  <c r="O35" s="1"/>
  <c r="L34"/>
  <c r="J34"/>
  <c r="L33"/>
  <c r="J33"/>
  <c r="O33" s="1"/>
  <c r="L32"/>
  <c r="O32" s="1"/>
  <c r="J32"/>
  <c r="L31"/>
  <c r="J31"/>
  <c r="O31" s="1"/>
  <c r="L30"/>
  <c r="J30"/>
  <c r="O30" s="1"/>
  <c r="L29"/>
  <c r="J29"/>
  <c r="O29" s="1"/>
  <c r="L28"/>
  <c r="J28"/>
  <c r="L27"/>
  <c r="J27"/>
  <c r="L26"/>
  <c r="J26"/>
  <c r="O26" s="1"/>
  <c r="L25"/>
  <c r="O25" s="1"/>
  <c r="J25"/>
  <c r="L24"/>
  <c r="J24"/>
  <c r="L23"/>
  <c r="J23"/>
  <c r="O23" s="1"/>
  <c r="L22"/>
  <c r="J22"/>
  <c r="O22" s="1"/>
  <c r="L21"/>
  <c r="J21"/>
  <c r="O21" s="1"/>
  <c r="L20"/>
  <c r="O20" s="1"/>
  <c r="J20"/>
  <c r="L19"/>
  <c r="J19"/>
  <c r="O19" s="1"/>
  <c r="L18"/>
  <c r="J18"/>
  <c r="O18" s="1"/>
  <c r="L17"/>
  <c r="J17"/>
  <c r="O17" s="1"/>
  <c r="L16"/>
  <c r="O16" s="1"/>
  <c r="J16"/>
  <c r="O15"/>
  <c r="L15"/>
  <c r="J15"/>
  <c r="L14"/>
  <c r="J14"/>
  <c r="O14" s="1"/>
  <c r="L13"/>
  <c r="J13"/>
  <c r="L12"/>
  <c r="J12"/>
  <c r="L11"/>
  <c r="J11"/>
  <c r="O11" s="1"/>
  <c r="L10"/>
  <c r="J10"/>
  <c r="O10" s="1"/>
  <c r="O9"/>
  <c r="L9"/>
  <c r="J9"/>
  <c r="L8"/>
  <c r="O8" s="1"/>
  <c r="J8"/>
  <c r="L7"/>
  <c r="J7"/>
  <c r="O7" s="1"/>
  <c r="L6"/>
  <c r="J6"/>
  <c r="L5"/>
  <c r="J5"/>
  <c r="O5" s="1"/>
  <c r="L4"/>
  <c r="O4" s="1"/>
  <c r="J4"/>
  <c r="L3"/>
  <c r="J3"/>
  <c r="L2"/>
  <c r="J2"/>
  <c r="O6" l="1"/>
  <c r="O13"/>
  <c r="O27"/>
  <c r="O38"/>
  <c r="O2"/>
  <c r="O12"/>
  <c r="O44"/>
  <c r="O51"/>
  <c r="O62"/>
  <c r="O69"/>
  <c r="O73"/>
  <c r="O80"/>
  <c r="O83"/>
  <c r="O94"/>
  <c r="O101"/>
  <c r="O111"/>
  <c r="O118"/>
  <c r="O132"/>
  <c r="O145"/>
  <c r="O159"/>
  <c r="O179"/>
  <c r="O189"/>
  <c r="O196"/>
  <c r="O209"/>
  <c r="O223"/>
  <c r="O243"/>
  <c r="O253"/>
  <c r="O260"/>
  <c r="O273"/>
  <c r="O287"/>
  <c r="O307"/>
  <c r="O317"/>
  <c r="O324"/>
  <c r="O344"/>
  <c r="O351"/>
  <c r="O364"/>
  <c r="O374"/>
  <c r="O378"/>
  <c r="O384"/>
  <c r="O36"/>
  <c r="O54"/>
  <c r="O61"/>
  <c r="O65"/>
  <c r="O72"/>
  <c r="O75"/>
  <c r="O86"/>
  <c r="O93"/>
  <c r="O97"/>
  <c r="O117"/>
  <c r="O127"/>
  <c r="O131"/>
  <c r="O141"/>
  <c r="O148"/>
  <c r="O161"/>
  <c r="O175"/>
  <c r="O195"/>
  <c r="O205"/>
  <c r="O212"/>
  <c r="O225"/>
  <c r="O239"/>
  <c r="O259"/>
  <c r="O269"/>
  <c r="O276"/>
  <c r="O289"/>
  <c r="O303"/>
  <c r="O333"/>
  <c r="O360"/>
  <c r="O367"/>
  <c r="O387"/>
  <c r="O393"/>
  <c r="O397"/>
  <c r="O413"/>
  <c r="O429"/>
  <c r="O438"/>
  <c r="O28"/>
  <c r="O53"/>
  <c r="O57"/>
  <c r="O64"/>
  <c r="O67"/>
  <c r="O78"/>
  <c r="O85"/>
  <c r="O89"/>
  <c r="O96"/>
  <c r="O99"/>
  <c r="O113"/>
  <c r="O147"/>
  <c r="O157"/>
  <c r="O164"/>
  <c r="O177"/>
  <c r="O191"/>
  <c r="O211"/>
  <c r="O221"/>
  <c r="O228"/>
  <c r="O241"/>
  <c r="O255"/>
  <c r="O275"/>
  <c r="O285"/>
  <c r="O292"/>
  <c r="O305"/>
  <c r="O315"/>
  <c r="O319"/>
  <c r="O342"/>
  <c r="O346"/>
  <c r="O370"/>
  <c r="O376"/>
  <c r="O382"/>
  <c r="O24"/>
  <c r="O63"/>
  <c r="O95"/>
  <c r="O119"/>
  <c r="O133"/>
  <c r="O153"/>
  <c r="O197"/>
  <c r="O217"/>
  <c r="O261"/>
  <c r="O281"/>
  <c r="O325"/>
  <c r="O352"/>
  <c r="O173"/>
  <c r="O193"/>
  <c r="O237"/>
  <c r="O257"/>
  <c r="O301"/>
  <c r="O321"/>
  <c r="O331"/>
  <c r="O348"/>
  <c r="O358"/>
  <c r="O395"/>
  <c r="O3"/>
  <c r="O34"/>
  <c r="O45"/>
  <c r="O105"/>
</calcChain>
</file>

<file path=xl/sharedStrings.xml><?xml version="1.0" encoding="utf-8"?>
<sst xmlns="http://schemas.openxmlformats.org/spreadsheetml/2006/main" count="2754" uniqueCount="405">
  <si>
    <t>Nivel</t>
  </si>
  <si>
    <t>Cue Edificio Principal</t>
  </si>
  <si>
    <t>CUI</t>
  </si>
  <si>
    <t>Codigo Postal</t>
  </si>
  <si>
    <t>Longitud</t>
  </si>
  <si>
    <t>Latitud</t>
  </si>
  <si>
    <t>Localidad</t>
  </si>
  <si>
    <t>Punto Partida</t>
  </si>
  <si>
    <t>Dist Circunf</t>
  </si>
  <si>
    <t>Radio Circ</t>
  </si>
  <si>
    <t>Distancia Camino</t>
  </si>
  <si>
    <t>Radio Camino</t>
  </si>
  <si>
    <t>Tiempo Google Auto</t>
  </si>
  <si>
    <t>Radio SiGE</t>
  </si>
  <si>
    <t>Estado</t>
  </si>
  <si>
    <t>Departamento</t>
  </si>
  <si>
    <t>ambito</t>
  </si>
  <si>
    <t>Observacion</t>
  </si>
  <si>
    <t>PRIMARIO</t>
  </si>
  <si>
    <t>VILLA SANTA ROSA</t>
  </si>
  <si>
    <t>PLAZA 25 DE MAYO</t>
  </si>
  <si>
    <t>25 DE MAYO</t>
  </si>
  <si>
    <t>PUBLICO</t>
  </si>
  <si>
    <t>SIN OBSERVACION</t>
  </si>
  <si>
    <t>CUATRO ESQUINAS</t>
  </si>
  <si>
    <t>DIVISORIA</t>
  </si>
  <si>
    <t>ALBERGUE</t>
  </si>
  <si>
    <t>ENCON</t>
  </si>
  <si>
    <t>TEC. CAP. LABORAL</t>
  </si>
  <si>
    <t>LA CHIMBERA</t>
  </si>
  <si>
    <t>LAS TRANCAS</t>
  </si>
  <si>
    <t>LAS CASUARINAS</t>
  </si>
  <si>
    <t>POZO SALADO</t>
  </si>
  <si>
    <t>Punta del Agua</t>
  </si>
  <si>
    <t>TUPELÍ</t>
  </si>
  <si>
    <t>SANTA ROSA</t>
  </si>
  <si>
    <t>PROV1701</t>
  </si>
  <si>
    <t>Campos de Aibilí</t>
  </si>
  <si>
    <t>AGROTECNICA</t>
  </si>
  <si>
    <t>PROV1702</t>
  </si>
  <si>
    <t>EDUCACIÓN ESPECIAL</t>
  </si>
  <si>
    <t>PROV1704</t>
  </si>
  <si>
    <t>INICIAL</t>
  </si>
  <si>
    <t>PROV1708</t>
  </si>
  <si>
    <t>VILLA CABECERA</t>
  </si>
  <si>
    <t>9 DE JULIO</t>
  </si>
  <si>
    <t>LA MAJADITA</t>
  </si>
  <si>
    <t>LAS CHACRITAS</t>
  </si>
  <si>
    <t>RINCON CERCADO</t>
  </si>
  <si>
    <t>PROV0901</t>
  </si>
  <si>
    <t>VILLA 9 DE JULIO</t>
  </si>
  <si>
    <t>CAMPO AFUERA</t>
  </si>
  <si>
    <t>ALBARDON</t>
  </si>
  <si>
    <t>VILLA SAN MARTIN</t>
  </si>
  <si>
    <t>comparte CUI con tanitani</t>
  </si>
  <si>
    <t>EL TOPON</t>
  </si>
  <si>
    <t>LA CAÑADA</t>
  </si>
  <si>
    <t>LAS LOMITAS</t>
  </si>
  <si>
    <t>LAS PIEDRITAS</t>
  </si>
  <si>
    <t>LAS TAPIAS</t>
  </si>
  <si>
    <t>OBISPO ZAPATA</t>
  </si>
  <si>
    <t>LAS TIERRITAS</t>
  </si>
  <si>
    <t>TECNICO</t>
  </si>
  <si>
    <t>VILLA SAN MIGUEL</t>
  </si>
  <si>
    <t>SECUNDARIO</t>
  </si>
  <si>
    <t>PROV0101</t>
  </si>
  <si>
    <t>5419</t>
  </si>
  <si>
    <t>700069600</t>
  </si>
  <si>
    <t>PROV0102</t>
  </si>
  <si>
    <t>COMPROBADO</t>
  </si>
  <si>
    <t xml:space="preserve"> </t>
  </si>
  <si>
    <t>700100200</t>
  </si>
  <si>
    <t>PROV0103</t>
  </si>
  <si>
    <t>700085200</t>
  </si>
  <si>
    <t>EL ALAMITO</t>
  </si>
  <si>
    <t>ANGACO</t>
  </si>
  <si>
    <t>EL BOSQUE</t>
  </si>
  <si>
    <t>PLUMERILLO</t>
  </si>
  <si>
    <t>PUNTA DEL MONTE</t>
  </si>
  <si>
    <t>VILLA DEL SALVADOR</t>
  </si>
  <si>
    <t>MONOTÉCNICA</t>
  </si>
  <si>
    <t>B° GUEMES</t>
  </si>
  <si>
    <t>REVISAR RADIO OFICIAL</t>
  </si>
  <si>
    <t>otra nomenclatura posee, 11-60-780-260-00-000</t>
  </si>
  <si>
    <t>PROV0201</t>
  </si>
  <si>
    <t>VILLA EL SALVADOR</t>
  </si>
  <si>
    <t>PROV0202</t>
  </si>
  <si>
    <t>PROV0203</t>
  </si>
  <si>
    <t>PROV0204</t>
  </si>
  <si>
    <t>PROV0206</t>
  </si>
  <si>
    <t>CALINGASTA</t>
  </si>
  <si>
    <t>ALCAPARROSA</t>
  </si>
  <si>
    <t>ALTO CALINGASTA</t>
  </si>
  <si>
    <t>BARREAL</t>
  </si>
  <si>
    <t>91.9</t>
  </si>
  <si>
    <t>LAS HORNILLAS</t>
  </si>
  <si>
    <t>ESTA A 1 KILOMETRO FUERA DE RUTA</t>
  </si>
  <si>
    <t>COLON</t>
  </si>
  <si>
    <t>HILARIO</t>
  </si>
  <si>
    <t>LA ISLA</t>
  </si>
  <si>
    <t>PUCHUZUM</t>
  </si>
  <si>
    <t>SOROCAYENSE</t>
  </si>
  <si>
    <t>TAMBERIAS</t>
  </si>
  <si>
    <t>SAN JOSE DE JACHAL</t>
  </si>
  <si>
    <t>PLAZA DE JACHAL</t>
  </si>
  <si>
    <t>JACHAL</t>
  </si>
  <si>
    <t>PACHIMOCO</t>
  </si>
  <si>
    <t>Bº FRONTERAS ARGENTINAS</t>
  </si>
  <si>
    <t>comparte con fronteras argentinas</t>
  </si>
  <si>
    <t>NIQUIVIL</t>
  </si>
  <si>
    <t>BOCA DE LA QUEBRADA</t>
  </si>
  <si>
    <t>EL FICAL</t>
  </si>
  <si>
    <t>EL VOLCÁN</t>
  </si>
  <si>
    <t>EL MEDANO</t>
  </si>
  <si>
    <t>HUACO</t>
  </si>
  <si>
    <t>EL BAJO HUACO</t>
  </si>
  <si>
    <t>ALTO HUACO</t>
  </si>
  <si>
    <t>LA CIENEGA</t>
  </si>
  <si>
    <t>LA FALDA</t>
  </si>
  <si>
    <t>LA FRONTERA</t>
  </si>
  <si>
    <t>PAMPA VIEJA</t>
  </si>
  <si>
    <t>LA REPRESA</t>
  </si>
  <si>
    <t>LOS PUESTOS</t>
  </si>
  <si>
    <t>MOGNA</t>
  </si>
  <si>
    <t>PAMPA DEL CHAÑAR</t>
  </si>
  <si>
    <t>VILLA CORRAL</t>
  </si>
  <si>
    <t>VILLA NUEVA</t>
  </si>
  <si>
    <t>comparte con muchas locaciones</t>
  </si>
  <si>
    <t>PROV0301</t>
  </si>
  <si>
    <t>PROV0302</t>
  </si>
  <si>
    <t>VILLA CALINGASTA</t>
  </si>
  <si>
    <t>VILLA DEL CARRIL</t>
  </si>
  <si>
    <t>CAPITAL</t>
  </si>
  <si>
    <t>CONCEPCIÓN</t>
  </si>
  <si>
    <t>TRINIDAD</t>
  </si>
  <si>
    <t>SARMIENTO</t>
  </si>
  <si>
    <t>SUPERIOR</t>
  </si>
  <si>
    <t>comparte con epet n° 2</t>
  </si>
  <si>
    <t>comparte con epet n° 4</t>
  </si>
  <si>
    <t>EDUCACIÓN HOSPITALARIA</t>
  </si>
  <si>
    <t>COLANGUIL</t>
  </si>
  <si>
    <t>IGLESIA</t>
  </si>
  <si>
    <t>terreno fiscal</t>
  </si>
  <si>
    <t>ANGUALASTO</t>
  </si>
  <si>
    <t>BAUCHACETA</t>
  </si>
  <si>
    <t>BELLA VISTA</t>
  </si>
  <si>
    <t>COLOLA</t>
  </si>
  <si>
    <t>LAS FLORES</t>
  </si>
  <si>
    <t>RODEO</t>
  </si>
  <si>
    <t>TUDCUM</t>
  </si>
  <si>
    <t>VILLA IGLESIA</t>
  </si>
  <si>
    <t>ZONDA</t>
  </si>
  <si>
    <t>MALIMAN</t>
  </si>
  <si>
    <t>PISMANTA</t>
  </si>
  <si>
    <t>PROV0702</t>
  </si>
  <si>
    <t>PROV0703</t>
  </si>
  <si>
    <t>AVERIGUAR AREA</t>
  </si>
  <si>
    <t>SAN ISIDRO</t>
  </si>
  <si>
    <t>SAN ROQUE</t>
  </si>
  <si>
    <t>VILLA MERCEDES</t>
  </si>
  <si>
    <t>comparte con abejitas</t>
  </si>
  <si>
    <t>HUERTA DE HUACHI</t>
  </si>
  <si>
    <t>GRAN CHINA</t>
  </si>
  <si>
    <t>EL RINCÓN</t>
  </si>
  <si>
    <t>B° S.M.A.T.A.</t>
  </si>
  <si>
    <t>-315270388</t>
  </si>
  <si>
    <t>DESAMPARADOS</t>
  </si>
  <si>
    <t>B° CABOT</t>
  </si>
  <si>
    <t>COMPARTE CON SARMIENTO</t>
  </si>
  <si>
    <t>comparte con domingo rojas</t>
  </si>
  <si>
    <t>700115200</t>
  </si>
  <si>
    <t>7000055</t>
  </si>
  <si>
    <t>5400</t>
  </si>
  <si>
    <t>REVISAR EN NECESIDADES EDILICIAS</t>
  </si>
  <si>
    <t>FOR. PROF. EDUC. NO FORMAL</t>
  </si>
  <si>
    <t>PROV0403</t>
  </si>
  <si>
    <t>B° FRONDIZI</t>
  </si>
  <si>
    <t>PROV0409</t>
  </si>
  <si>
    <t>PROV0442</t>
  </si>
  <si>
    <t>revisar existencia</t>
  </si>
  <si>
    <t>UEPA</t>
  </si>
  <si>
    <t>VILLA UNION</t>
  </si>
  <si>
    <t>CHIMBAS</t>
  </si>
  <si>
    <t>B° PARQUE INDEPENDENCIA</t>
  </si>
  <si>
    <t>B° LAPRIDA</t>
  </si>
  <si>
    <t>B° LOS ALERCES</t>
  </si>
  <si>
    <t>Bº LOS PINOS</t>
  </si>
  <si>
    <t>Bº LOS TAMARINDO</t>
  </si>
  <si>
    <t>B° PARQUE INDUSTRIAL</t>
  </si>
  <si>
    <t>comparte con eni 60</t>
  </si>
  <si>
    <t>CHIMBAS NORTE</t>
  </si>
  <si>
    <t>EL MOGOTE</t>
  </si>
  <si>
    <t>VILLA MARIA</t>
  </si>
  <si>
    <t>VILLA MORRONE</t>
  </si>
  <si>
    <t>VILLA OBRERA</t>
  </si>
  <si>
    <t>VILLA OBSERVATORIO</t>
  </si>
  <si>
    <t>VILLA MARIANO MORENO</t>
  </si>
  <si>
    <t>Bº CHIMBAS II</t>
  </si>
  <si>
    <t>VILLA SARMIENTO</t>
  </si>
  <si>
    <t>comparte con eni 10</t>
  </si>
  <si>
    <t>VILLA PAULA</t>
  </si>
  <si>
    <t>PROV0601</t>
  </si>
  <si>
    <t>PROV0602</t>
  </si>
  <si>
    <t>B° CENTENARIO</t>
  </si>
  <si>
    <t>PROV0605</t>
  </si>
  <si>
    <t>PROV0606</t>
  </si>
  <si>
    <t xml:space="preserve">  Bº NORTE</t>
  </si>
  <si>
    <t>PROV0607</t>
  </si>
  <si>
    <t>PROV0608</t>
  </si>
  <si>
    <t>comparte con Werfield Salinas</t>
  </si>
  <si>
    <t>PROV0609</t>
  </si>
  <si>
    <t>B° LOS TAMARINDO</t>
  </si>
  <si>
    <t>PROV0610</t>
  </si>
  <si>
    <t>comparte con bavio</t>
  </si>
  <si>
    <t>PROV0613</t>
  </si>
  <si>
    <t>B° LOS ANDES</t>
  </si>
  <si>
    <t>PROV0622</t>
  </si>
  <si>
    <t>PROV0801</t>
  </si>
  <si>
    <t>PROV0805</t>
  </si>
  <si>
    <t>B° SAN JOSE</t>
  </si>
  <si>
    <t>comparte con varios locatarios</t>
  </si>
  <si>
    <t>CAUCETE</t>
  </si>
  <si>
    <t>PLAZA DE CAUCETE</t>
  </si>
  <si>
    <t>LAGUNA SECA BERMEJO</t>
  </si>
  <si>
    <t>LA PLANTA</t>
  </si>
  <si>
    <t>LA PUNTILLA</t>
  </si>
  <si>
    <t>LAS CHACRAS</t>
  </si>
  <si>
    <t>LAS LIEBRES</t>
  </si>
  <si>
    <t>LOS MEDANOS</t>
  </si>
  <si>
    <t>LA RINCONADA</t>
  </si>
  <si>
    <t>POCITO</t>
  </si>
  <si>
    <t>CAMPO DE BATALLA</t>
  </si>
  <si>
    <t>CARPINTERIA</t>
  </si>
  <si>
    <t>COLONIA RODAS</t>
  </si>
  <si>
    <t>RINCONADA</t>
  </si>
  <si>
    <t>LA CALLECITA</t>
  </si>
  <si>
    <t>QUINTO CUARTEL</t>
  </si>
  <si>
    <t>CUARTO CARTEL</t>
  </si>
  <si>
    <t>comparte con la secundaria</t>
  </si>
  <si>
    <t>SEGUNDO CUARTEL</t>
  </si>
  <si>
    <t>VILLA ABERASTAIN</t>
  </si>
  <si>
    <t>VILLA PAOLINI</t>
  </si>
  <si>
    <t>VILLA AEROPARQUE</t>
  </si>
  <si>
    <t>PROV1002</t>
  </si>
  <si>
    <t>PROV1004</t>
  </si>
  <si>
    <t>POCITO NORTE</t>
  </si>
  <si>
    <t>PROV1005</t>
  </si>
  <si>
    <t>PROV1006</t>
  </si>
  <si>
    <t>comparte con la primaria</t>
  </si>
  <si>
    <t>PROV1009</t>
  </si>
  <si>
    <t>RAWSON</t>
  </si>
  <si>
    <t>B° EDILCO</t>
  </si>
  <si>
    <t>B° HUALILAN</t>
  </si>
  <si>
    <t>B° RESIDENCIAL OBRERO</t>
  </si>
  <si>
    <t>B° BUENAVENTURA LUNA</t>
  </si>
  <si>
    <t>B° HUGO MONTAÑO</t>
  </si>
  <si>
    <t>B° S. M. DEL CARRIL</t>
  </si>
  <si>
    <t>B° SAN RICARDO</t>
  </si>
  <si>
    <t>comparte con eni 42</t>
  </si>
  <si>
    <t>LOS CORREDORES</t>
  </si>
  <si>
    <t>MEDANITO</t>
  </si>
  <si>
    <t>MEDANO DE ORO</t>
  </si>
  <si>
    <t>Vº BOLAÑOS</t>
  </si>
  <si>
    <t>Vº HIPODROMO</t>
  </si>
  <si>
    <t>VILLA KRAUSE</t>
  </si>
  <si>
    <t>CAPITAN LAZO</t>
  </si>
  <si>
    <t>04-33-800-400-00-000</t>
  </si>
  <si>
    <t>B° 12 DE DICIEMBRE</t>
  </si>
  <si>
    <t>VILLA SAN DAMIAN</t>
  </si>
  <si>
    <t>B° FRANKLIN RAWSON</t>
  </si>
  <si>
    <t>PROV1101</t>
  </si>
  <si>
    <t>PROV1102</t>
  </si>
  <si>
    <t xml:space="preserve"> Bº BORGES</t>
  </si>
  <si>
    <t>PROV1103</t>
  </si>
  <si>
    <t xml:space="preserve"> Bº SIERRAS MORADAS</t>
  </si>
  <si>
    <t>PROV1104</t>
  </si>
  <si>
    <t>Bº VALLE GRANDE</t>
  </si>
  <si>
    <t>PROV1107</t>
  </si>
  <si>
    <t>Bº LA ESTACIÓN</t>
  </si>
  <si>
    <t>PROV1108</t>
  </si>
  <si>
    <t>B° 24 DE NOVIEMBRE</t>
  </si>
  <si>
    <t>comparte con 14 de febrero</t>
  </si>
  <si>
    <t>PROV1109</t>
  </si>
  <si>
    <t>Bº SAN JUAN</t>
  </si>
  <si>
    <t>RIVADAVIA</t>
  </si>
  <si>
    <t>COMPARTE CON RIM 22</t>
  </si>
  <si>
    <t>B° PARQUE RIVADAVIA NORTE</t>
  </si>
  <si>
    <t>Bº FORTABAT</t>
  </si>
  <si>
    <t>B° FORTABAT</t>
  </si>
  <si>
    <t>B° HUAZIUL</t>
  </si>
  <si>
    <t>B° JARDIN POLICIAL</t>
  </si>
  <si>
    <t xml:space="preserve">B° ARAMBURU </t>
  </si>
  <si>
    <t>comparte con eni 5 sarle</t>
  </si>
  <si>
    <t>B° UDAP III</t>
  </si>
  <si>
    <t>B° RIVADAVIA SUR</t>
  </si>
  <si>
    <t>LA BEBIDA</t>
  </si>
  <si>
    <t>MARQUEZADO</t>
  </si>
  <si>
    <t>B° NUEVA ARGENTINA</t>
  </si>
  <si>
    <t>Bº CAMUS</t>
  </si>
  <si>
    <t>LOTES DE ALVAREZ</t>
  </si>
  <si>
    <t>comparte con bartolome</t>
  </si>
  <si>
    <t>HOSPITAL MARCIAL QUIROGA</t>
  </si>
  <si>
    <t>00:17+</t>
  </si>
  <si>
    <t>CENS</t>
  </si>
  <si>
    <t>COMPARTE CON TIMOEO MARADONA</t>
  </si>
  <si>
    <t>PROV1201</t>
  </si>
  <si>
    <t>PROV1202</t>
  </si>
  <si>
    <t>B° MARQUESADO</t>
  </si>
  <si>
    <t>MARAYES</t>
  </si>
  <si>
    <t>PROV1203</t>
  </si>
  <si>
    <t>Bº NATANIA XV</t>
  </si>
  <si>
    <t>PROV1204</t>
  </si>
  <si>
    <t>B° PIUQUEN</t>
  </si>
  <si>
    <t>PROV1205</t>
  </si>
  <si>
    <t>B° NUEVO CUYO</t>
  </si>
  <si>
    <t>PROV1208</t>
  </si>
  <si>
    <t>INCONGRUENTE</t>
  </si>
  <si>
    <t>SAN MARTIN</t>
  </si>
  <si>
    <t>DOS ACEQUIAS</t>
  </si>
  <si>
    <t>VILLA DOMINGUITO</t>
  </si>
  <si>
    <t>LOS COMPARTOS</t>
  </si>
  <si>
    <t>LA PUNILLA</t>
  </si>
  <si>
    <t>VILLA LUGANO</t>
  </si>
  <si>
    <t>PROV1301</t>
  </si>
  <si>
    <t>VILLA ALEM</t>
  </si>
  <si>
    <t>SANTA LUCIA</t>
  </si>
  <si>
    <t>PIE DE PALO</t>
  </si>
  <si>
    <t>ESQUINA DEL SAUCE</t>
  </si>
  <si>
    <t>POZO DE LOS ALGARROBOS</t>
  </si>
  <si>
    <t>poseee otra nomenclatura más 13-68-480-220-00-000</t>
  </si>
  <si>
    <t>VALLECITO - PARAJE DIFUNTA CORREA</t>
  </si>
  <si>
    <t>ALTO DE SIERRA</t>
  </si>
  <si>
    <t>BERMEJITO</t>
  </si>
  <si>
    <t>BARRIO KENNEDY</t>
  </si>
  <si>
    <t>B° BALCARCE</t>
  </si>
  <si>
    <t>COLONIA RICHET ZAPATA</t>
  </si>
  <si>
    <t>NO FORMAL</t>
  </si>
  <si>
    <t>PROV1501</t>
  </si>
  <si>
    <t>LA LEGUA</t>
  </si>
  <si>
    <t>PROV1502</t>
  </si>
  <si>
    <t>COLONIA GUTIERREZ</t>
  </si>
  <si>
    <t>PROV1503</t>
  </si>
  <si>
    <t>PROV1504</t>
  </si>
  <si>
    <t>CAÑADA HONDA</t>
  </si>
  <si>
    <t>CIENEGUITA</t>
  </si>
  <si>
    <t>COCHAGUAL</t>
  </si>
  <si>
    <t>CAMPO VID</t>
  </si>
  <si>
    <t>COLONIA FISCAL</t>
  </si>
  <si>
    <t>DIVISADERO</t>
  </si>
  <si>
    <t>HUANACACHE</t>
  </si>
  <si>
    <t>DISTINTO</t>
  </si>
  <si>
    <t>LAS LAGUNAS</t>
  </si>
  <si>
    <t>PROV0501</t>
  </si>
  <si>
    <t>comparte con eni 29</t>
  </si>
  <si>
    <t>PROV0502</t>
  </si>
  <si>
    <t>CASAS VIEJAS</t>
  </si>
  <si>
    <t>LOS BERROS</t>
  </si>
  <si>
    <t>V° MEDIA AGUA</t>
  </si>
  <si>
    <t>comparte con aguilar</t>
  </si>
  <si>
    <t>comparte con alfonsina storni</t>
  </si>
  <si>
    <t>RETAMITO</t>
  </si>
  <si>
    <t>SAN CARLOS</t>
  </si>
  <si>
    <t>TRES ESQUINAS</t>
  </si>
  <si>
    <t>PEDERNAL</t>
  </si>
  <si>
    <t>PROV0503</t>
  </si>
  <si>
    <t>PROV0506</t>
  </si>
  <si>
    <t>Bº BERMEJO</t>
  </si>
  <si>
    <t>comparte con los manantiales</t>
  </si>
  <si>
    <t>PROV1401</t>
  </si>
  <si>
    <t>PROV1402</t>
  </si>
  <si>
    <t>PROV1403</t>
  </si>
  <si>
    <t>VILLA IBAÑEZ</t>
  </si>
  <si>
    <t>ULLUM</t>
  </si>
  <si>
    <t>VILLA AURORA</t>
  </si>
  <si>
    <t>comparte con eni</t>
  </si>
  <si>
    <t>PROV1601</t>
  </si>
  <si>
    <t>comparte con lenoir</t>
  </si>
  <si>
    <t>AGUA CERCADA</t>
  </si>
  <si>
    <t>VALLE FERTIL</t>
  </si>
  <si>
    <t>ASTICA</t>
  </si>
  <si>
    <t>SIERRAS DE ELIZONDO</t>
  </si>
  <si>
    <t>LOS BALDECITOS</t>
  </si>
  <si>
    <t>BALDES DE ASTICA</t>
  </si>
  <si>
    <t>BALDES DE LAS CHILCAS</t>
  </si>
  <si>
    <t>BALDES DEL NORTE</t>
  </si>
  <si>
    <t>fuera de la provincia</t>
  </si>
  <si>
    <t>BALDES DE ROSARIO</t>
  </si>
  <si>
    <t>BALDES DEL SUR</t>
  </si>
  <si>
    <t>dado de baja por catastro</t>
  </si>
  <si>
    <t>CHUCUMA</t>
  </si>
  <si>
    <t>LOS BRETES</t>
  </si>
  <si>
    <t>COLONIA LOS VALECIANOS</t>
  </si>
  <si>
    <t>USNO</t>
  </si>
  <si>
    <t>VILLA SAN AGUSTIN</t>
  </si>
  <si>
    <t>comparte con varias locaciones</t>
  </si>
  <si>
    <t>SIERRAS DE CHAVEZ</t>
  </si>
  <si>
    <t>LAS JUNTAS</t>
  </si>
  <si>
    <t>BALDES DE FUNE</t>
  </si>
  <si>
    <t>BAJO CHUCUMA</t>
  </si>
  <si>
    <t>comparte con eni 18</t>
  </si>
  <si>
    <t>PROV1801</t>
  </si>
  <si>
    <t>comparte con eee</t>
  </si>
  <si>
    <t>V° BASILIO NIEVAS</t>
  </si>
  <si>
    <t>PROV1901</t>
  </si>
  <si>
    <t>PROV1902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</si>
</sst>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scheme val="minor"/>
    </font>
    <font>
      <u/>
      <sz val="11"/>
      <color theme="1"/>
      <name val="Calibri"/>
    </font>
    <font>
      <sz val="11"/>
      <color theme="1"/>
      <name val="Calibri"/>
    </font>
    <font>
      <b/>
      <sz val="11"/>
      <color rgb="FF9C5700"/>
      <name val="Calibri"/>
    </font>
    <font>
      <b/>
      <sz val="11"/>
      <color rgb="FF9C0006"/>
      <name val="Calibri"/>
    </font>
    <font>
      <sz val="11"/>
      <color rgb="FF006100"/>
      <name val="Calibri"/>
    </font>
    <font>
      <sz val="11"/>
      <color rgb="FF9C5700"/>
      <name val="Calibri"/>
    </font>
    <font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20" fontId="3" fillId="2" borderId="1" xfId="0" applyNumberFormat="1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20" fontId="4" fillId="3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20" fontId="5" fillId="4" borderId="1" xfId="0" applyNumberFormat="1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20" fontId="5" fillId="4" borderId="7" xfId="0" applyNumberFormat="1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20" fontId="5" fillId="4" borderId="6" xfId="0" applyNumberFormat="1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20" fontId="4" fillId="3" borderId="7" xfId="0" applyNumberFormat="1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20" fontId="3" fillId="2" borderId="7" xfId="0" applyNumberFormat="1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20" fontId="5" fillId="4" borderId="8" xfId="0" applyNumberFormat="1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20" fontId="5" fillId="4" borderId="5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20" fontId="6" fillId="2" borderId="1" xfId="0" applyNumberFormat="1" applyFont="1" applyFill="1" applyBorder="1" applyAlignment="1">
      <alignment horizontal="left"/>
    </xf>
    <xf numFmtId="0" fontId="4" fillId="3" borderId="5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20" fontId="5" fillId="4" borderId="1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20" fontId="4" fillId="3" borderId="13" xfId="0" applyNumberFormat="1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20" fontId="5" fillId="4" borderId="14" xfId="0" applyNumberFormat="1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20" fontId="5" fillId="4" borderId="13" xfId="0" applyNumberFormat="1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20" fontId="3" fillId="2" borderId="13" xfId="0" applyNumberFormat="1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5" fillId="4" borderId="16" xfId="0" applyFont="1" applyFill="1" applyBorder="1" applyAlignment="1">
      <alignment horizontal="left" vertical="center"/>
    </xf>
    <xf numFmtId="0" fontId="5" fillId="4" borderId="17" xfId="0" applyFont="1" applyFill="1" applyBorder="1" applyAlignment="1">
      <alignment horizontal="left" vertical="center"/>
    </xf>
    <xf numFmtId="20" fontId="5" fillId="4" borderId="18" xfId="0" applyNumberFormat="1" applyFont="1" applyFill="1" applyBorder="1" applyAlignment="1">
      <alignment horizontal="left" vertical="center"/>
    </xf>
    <xf numFmtId="0" fontId="5" fillId="4" borderId="18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20" fontId="3" fillId="2" borderId="21" xfId="0" applyNumberFormat="1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/>
    </xf>
    <xf numFmtId="20" fontId="3" fillId="2" borderId="8" xfId="0" applyNumberFormat="1" applyFont="1" applyFill="1" applyBorder="1" applyAlignment="1">
      <alignment horizontal="left" vertical="center"/>
    </xf>
    <xf numFmtId="0" fontId="5" fillId="4" borderId="22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/>
    </xf>
    <xf numFmtId="20" fontId="3" fillId="2" borderId="5" xfId="0" applyNumberFormat="1" applyFont="1" applyFill="1" applyBorder="1" applyAlignment="1">
      <alignment horizontal="left" vertical="center"/>
    </xf>
    <xf numFmtId="0" fontId="4" fillId="3" borderId="22" xfId="0" applyFont="1" applyFill="1" applyBorder="1" applyAlignment="1">
      <alignment horizontal="left" vertical="center"/>
    </xf>
    <xf numFmtId="20" fontId="4" fillId="3" borderId="22" xfId="0" applyNumberFormat="1" applyFont="1" applyFill="1" applyBorder="1" applyAlignment="1">
      <alignment horizontal="left" vertical="center"/>
    </xf>
    <xf numFmtId="20" fontId="4" fillId="3" borderId="5" xfId="0" applyNumberFormat="1" applyFont="1" applyFill="1" applyBorder="1" applyAlignment="1">
      <alignment horizontal="left" vertical="center"/>
    </xf>
    <xf numFmtId="20" fontId="4" fillId="3" borderId="8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00"/>
  <sheetViews>
    <sheetView tabSelected="1" workbookViewId="0">
      <selection activeCell="B1" sqref="B1:B1048576"/>
    </sheetView>
  </sheetViews>
  <sheetFormatPr baseColWidth="10" defaultColWidth="14.42578125" defaultRowHeight="15" customHeight="1"/>
  <cols>
    <col min="1" max="1" width="18.140625" customWidth="1"/>
    <col min="2" max="2" width="11.5703125" customWidth="1"/>
    <col min="3" max="3" width="10.7109375" customWidth="1"/>
    <col min="4" max="4" width="6.85546875" customWidth="1"/>
    <col min="5" max="6" width="14" customWidth="1"/>
    <col min="7" max="7" width="20.5703125" customWidth="1"/>
    <col min="8" max="8" width="18.5703125" customWidth="1"/>
    <col min="9" max="9" width="8.7109375" customWidth="1"/>
    <col min="10" max="10" width="8.5703125" customWidth="1"/>
    <col min="11" max="11" width="18.140625" customWidth="1"/>
    <col min="12" max="12" width="8.42578125" customWidth="1"/>
    <col min="13" max="13" width="8.28515625" customWidth="1"/>
    <col min="14" max="14" width="5.42578125" customWidth="1"/>
    <col min="15" max="15" width="15.42578125" customWidth="1"/>
    <col min="16" max="16" width="16.140625" customWidth="1"/>
    <col min="17" max="17" width="9.5703125" customWidth="1"/>
    <col min="18" max="18" width="49.140625" customWidth="1"/>
    <col min="19" max="25" width="50.42578125" customWidth="1"/>
  </cols>
  <sheetData>
    <row r="1" spans="1:25" ht="29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4" t="s">
        <v>10</v>
      </c>
      <c r="L1" s="2" t="s">
        <v>11</v>
      </c>
      <c r="M1" s="5" t="s">
        <v>12</v>
      </c>
      <c r="N1" s="3" t="s">
        <v>13</v>
      </c>
      <c r="O1" s="2" t="s">
        <v>14</v>
      </c>
      <c r="P1" s="5" t="s">
        <v>15</v>
      </c>
      <c r="Q1" s="2" t="s">
        <v>16</v>
      </c>
      <c r="R1" s="2" t="s">
        <v>17</v>
      </c>
      <c r="S1" s="6"/>
      <c r="T1" s="6"/>
      <c r="U1" s="6"/>
      <c r="V1" s="6"/>
      <c r="W1" s="6"/>
      <c r="X1" s="6"/>
      <c r="Y1" s="6"/>
    </row>
    <row r="2" spans="1:25" ht="17.25" customHeight="1">
      <c r="A2" s="7" t="s">
        <v>18</v>
      </c>
      <c r="B2" s="7">
        <v>700023000</v>
      </c>
      <c r="C2" s="7">
        <v>7000404</v>
      </c>
      <c r="D2" s="7">
        <v>5443</v>
      </c>
      <c r="E2" s="7">
        <v>-68.306800999999993</v>
      </c>
      <c r="F2" s="7">
        <v>-31.7724677</v>
      </c>
      <c r="G2" s="7" t="s">
        <v>19</v>
      </c>
      <c r="H2" s="7" t="s">
        <v>20</v>
      </c>
      <c r="I2" s="7">
        <v>33.4</v>
      </c>
      <c r="J2" s="8">
        <f t="shared" ref="J2:J81" si="0">IF(I2&lt;=4,1,IF(I2&lt;=10,2,IF(I2&lt;=20,3,IF(I2&lt;=40,4,IF(I2&lt;=80,5,6)))))</f>
        <v>4</v>
      </c>
      <c r="K2" s="7">
        <v>41</v>
      </c>
      <c r="L2" s="8">
        <f t="shared" ref="L2:L81" si="1">IF(K2&lt;=4,1,IF(K2&lt;=10,2,IF(K2&lt;=20,3,IF(K2&lt;=40,4,IF(K2&lt;=80,5,6)))))</f>
        <v>5</v>
      </c>
      <c r="M2" s="9">
        <v>2.8472222222222222E-2</v>
      </c>
      <c r="N2" s="7">
        <v>5</v>
      </c>
      <c r="O2" s="8" t="str">
        <f>IF(AVERAGE(J2,L2)=N2,"COINCIDE",IF(L2=N2,"INCONGRUENTE","DISTINTO"))</f>
        <v>INCONGRUENTE</v>
      </c>
      <c r="P2" s="7" t="s">
        <v>21</v>
      </c>
      <c r="Q2" s="7" t="s">
        <v>22</v>
      </c>
      <c r="R2" s="10" t="s">
        <v>23</v>
      </c>
      <c r="S2" s="6"/>
      <c r="T2" s="6"/>
      <c r="U2" s="6"/>
      <c r="V2" s="6"/>
      <c r="W2" s="6"/>
      <c r="X2" s="6"/>
      <c r="Y2" s="6"/>
    </row>
    <row r="3" spans="1:25">
      <c r="A3" s="11" t="s">
        <v>18</v>
      </c>
      <c r="B3" s="11">
        <v>700023100</v>
      </c>
      <c r="C3" s="11">
        <v>7000405</v>
      </c>
      <c r="D3" s="11">
        <v>5443</v>
      </c>
      <c r="E3" s="11">
        <v>-68.345126699999994</v>
      </c>
      <c r="F3" s="11">
        <v>-31.7308284</v>
      </c>
      <c r="G3" s="11" t="s">
        <v>24</v>
      </c>
      <c r="H3" s="11" t="s">
        <v>20</v>
      </c>
      <c r="I3" s="11">
        <v>27.5</v>
      </c>
      <c r="J3" s="11">
        <f t="shared" si="0"/>
        <v>4</v>
      </c>
      <c r="K3" s="11">
        <v>33</v>
      </c>
      <c r="L3" s="11">
        <f t="shared" si="1"/>
        <v>4</v>
      </c>
      <c r="M3" s="12">
        <v>2.361111111111111E-2</v>
      </c>
      <c r="N3" s="11">
        <v>5</v>
      </c>
      <c r="O3" s="11" t="str">
        <f>IF(AVERAGE(J3,L3)=N3,"COINCIDE",IF(L3=N3,"INCONGRUENTE",IF(N3=7,"COINCIDE","DISTINTO")))</f>
        <v>DISTINTO</v>
      </c>
      <c r="P3" s="11" t="s">
        <v>21</v>
      </c>
      <c r="Q3" s="11" t="s">
        <v>22</v>
      </c>
      <c r="R3" s="11" t="s">
        <v>23</v>
      </c>
      <c r="S3" s="6"/>
      <c r="T3" s="6"/>
      <c r="U3" s="6"/>
      <c r="V3" s="6"/>
      <c r="W3" s="6"/>
      <c r="X3" s="6"/>
      <c r="Y3" s="6"/>
    </row>
    <row r="4" spans="1:25">
      <c r="A4" s="13" t="s">
        <v>18</v>
      </c>
      <c r="B4" s="13">
        <v>700036200</v>
      </c>
      <c r="C4" s="13">
        <v>7000406</v>
      </c>
      <c r="D4" s="13">
        <v>5443</v>
      </c>
      <c r="E4" s="13">
        <v>-68.314082900000002</v>
      </c>
      <c r="F4" s="13">
        <v>-31.701623900000001</v>
      </c>
      <c r="G4" s="13" t="s">
        <v>25</v>
      </c>
      <c r="H4" s="13" t="s">
        <v>20</v>
      </c>
      <c r="I4" s="13">
        <v>27.1</v>
      </c>
      <c r="J4" s="13">
        <f t="shared" si="0"/>
        <v>4</v>
      </c>
      <c r="K4" s="13">
        <v>35</v>
      </c>
      <c r="L4" s="13">
        <f t="shared" si="1"/>
        <v>4</v>
      </c>
      <c r="M4" s="14">
        <v>2.361111111111111E-2</v>
      </c>
      <c r="N4" s="13">
        <v>4</v>
      </c>
      <c r="O4" s="13" t="str">
        <f>IF(AVERAGE(J4,L4)=N4,"COINCIDE",IF(L4=N4,"INCONGRUENTE","DISTINTO"))</f>
        <v>COINCIDE</v>
      </c>
      <c r="P4" s="13" t="s">
        <v>21</v>
      </c>
      <c r="Q4" s="13" t="s">
        <v>22</v>
      </c>
      <c r="R4" s="13" t="s">
        <v>23</v>
      </c>
      <c r="S4" s="6"/>
      <c r="T4" s="6"/>
      <c r="U4" s="6"/>
      <c r="V4" s="6"/>
      <c r="W4" s="6"/>
      <c r="X4" s="6"/>
      <c r="Y4" s="6"/>
    </row>
    <row r="5" spans="1:25">
      <c r="A5" s="11" t="s">
        <v>18</v>
      </c>
      <c r="B5" s="11">
        <v>700035900</v>
      </c>
      <c r="C5" s="11">
        <v>7000407</v>
      </c>
      <c r="D5" s="11">
        <v>5443</v>
      </c>
      <c r="E5" s="11">
        <v>-68.315224700000002</v>
      </c>
      <c r="F5" s="11">
        <v>-31.7238164</v>
      </c>
      <c r="G5" s="11" t="s">
        <v>25</v>
      </c>
      <c r="H5" s="11" t="s">
        <v>20</v>
      </c>
      <c r="I5" s="11">
        <v>28.8</v>
      </c>
      <c r="J5" s="11">
        <f t="shared" si="0"/>
        <v>4</v>
      </c>
      <c r="K5" s="11">
        <v>35</v>
      </c>
      <c r="L5" s="11">
        <f t="shared" si="1"/>
        <v>4</v>
      </c>
      <c r="M5" s="12">
        <v>2.5694444444444447E-2</v>
      </c>
      <c r="N5" s="11">
        <v>5</v>
      </c>
      <c r="O5" s="11" t="str">
        <f>IF(AVERAGE(J5,L5)=N5,"COINCIDE",IF(L5=N5,"INCONGRUENTE",IF(N5=7,"COINCIDE","DISTINTO")))</f>
        <v>DISTINTO</v>
      </c>
      <c r="P5" s="11" t="s">
        <v>21</v>
      </c>
      <c r="Q5" s="11" t="s">
        <v>22</v>
      </c>
      <c r="R5" s="11" t="s">
        <v>23</v>
      </c>
      <c r="S5" s="6"/>
      <c r="T5" s="6"/>
      <c r="U5" s="6"/>
      <c r="V5" s="6"/>
      <c r="W5" s="6"/>
      <c r="X5" s="6"/>
      <c r="Y5" s="6"/>
    </row>
    <row r="6" spans="1:25">
      <c r="A6" s="13" t="s">
        <v>26</v>
      </c>
      <c r="B6" s="13">
        <v>700019400</v>
      </c>
      <c r="C6" s="13">
        <v>7000408</v>
      </c>
      <c r="D6" s="13">
        <v>5443</v>
      </c>
      <c r="E6" s="13">
        <v>-67.794977500000002</v>
      </c>
      <c r="F6" s="13">
        <v>-32.216389300000003</v>
      </c>
      <c r="G6" s="13" t="s">
        <v>27</v>
      </c>
      <c r="H6" s="13" t="s">
        <v>20</v>
      </c>
      <c r="I6" s="13">
        <v>102</v>
      </c>
      <c r="J6" s="13">
        <f t="shared" si="0"/>
        <v>6</v>
      </c>
      <c r="K6" s="13">
        <v>115</v>
      </c>
      <c r="L6" s="13">
        <f t="shared" si="1"/>
        <v>6</v>
      </c>
      <c r="M6" s="14">
        <v>6.1111111111111116E-2</v>
      </c>
      <c r="N6" s="13">
        <v>6</v>
      </c>
      <c r="O6" s="13" t="str">
        <f t="shared" ref="O6:O9" si="2">IF(AVERAGE(J6,L6)=N6,"COINCIDE",IF(L6=N6,"INCONGRUENTE","DISTINTO"))</f>
        <v>COINCIDE</v>
      </c>
      <c r="P6" s="13" t="s">
        <v>21</v>
      </c>
      <c r="Q6" s="13" t="s">
        <v>22</v>
      </c>
      <c r="R6" s="13" t="s">
        <v>23</v>
      </c>
      <c r="S6" s="6"/>
      <c r="T6" s="6"/>
      <c r="U6" s="6"/>
      <c r="V6" s="6"/>
      <c r="W6" s="6"/>
      <c r="X6" s="6"/>
      <c r="Y6" s="6"/>
    </row>
    <row r="7" spans="1:25">
      <c r="A7" s="15" t="s">
        <v>28</v>
      </c>
      <c r="B7" s="15">
        <v>700084200</v>
      </c>
      <c r="C7" s="15">
        <v>7000410</v>
      </c>
      <c r="D7" s="15">
        <v>5443</v>
      </c>
      <c r="E7" s="15">
        <v>-68.254239699999999</v>
      </c>
      <c r="F7" s="15">
        <v>-31.8287634</v>
      </c>
      <c r="G7" s="15" t="s">
        <v>21</v>
      </c>
      <c r="H7" s="15" t="s">
        <v>20</v>
      </c>
      <c r="I7" s="15">
        <v>41.1</v>
      </c>
      <c r="J7" s="15">
        <f t="shared" si="0"/>
        <v>5</v>
      </c>
      <c r="K7" s="15">
        <v>53</v>
      </c>
      <c r="L7" s="15">
        <f t="shared" si="1"/>
        <v>5</v>
      </c>
      <c r="M7" s="16">
        <v>3.4722222222222224E-2</v>
      </c>
      <c r="N7" s="15">
        <v>5</v>
      </c>
      <c r="O7" s="15" t="str">
        <f t="shared" si="2"/>
        <v>COINCIDE</v>
      </c>
      <c r="P7" s="15" t="s">
        <v>21</v>
      </c>
      <c r="Q7" s="15" t="s">
        <v>22</v>
      </c>
      <c r="R7" s="15" t="s">
        <v>23</v>
      </c>
      <c r="S7" s="6"/>
      <c r="T7" s="6"/>
      <c r="U7" s="6"/>
      <c r="V7" s="6"/>
      <c r="W7" s="6"/>
      <c r="X7" s="6"/>
      <c r="Y7" s="6"/>
    </row>
    <row r="8" spans="1:25">
      <c r="A8" s="13" t="s">
        <v>18</v>
      </c>
      <c r="B8" s="13">
        <v>700019100</v>
      </c>
      <c r="C8" s="13">
        <v>7000411</v>
      </c>
      <c r="D8" s="13">
        <v>5443</v>
      </c>
      <c r="E8" s="13">
        <v>-68.226099199999993</v>
      </c>
      <c r="F8" s="13">
        <v>-31.8302443</v>
      </c>
      <c r="G8" s="13" t="s">
        <v>29</v>
      </c>
      <c r="H8" s="13" t="s">
        <v>20</v>
      </c>
      <c r="I8" s="13">
        <v>42.9</v>
      </c>
      <c r="J8" s="13">
        <f t="shared" si="0"/>
        <v>5</v>
      </c>
      <c r="K8" s="13">
        <v>56</v>
      </c>
      <c r="L8" s="13">
        <f t="shared" si="1"/>
        <v>5</v>
      </c>
      <c r="M8" s="14">
        <v>3.4027777777777775E-2</v>
      </c>
      <c r="N8" s="13">
        <v>5</v>
      </c>
      <c r="O8" s="13" t="str">
        <f t="shared" si="2"/>
        <v>COINCIDE</v>
      </c>
      <c r="P8" s="13" t="s">
        <v>21</v>
      </c>
      <c r="Q8" s="13" t="s">
        <v>22</v>
      </c>
      <c r="R8" s="13" t="s">
        <v>23</v>
      </c>
      <c r="S8" s="6"/>
      <c r="T8" s="6"/>
      <c r="U8" s="6"/>
      <c r="V8" s="6"/>
      <c r="W8" s="6"/>
      <c r="X8" s="6"/>
      <c r="Y8" s="6"/>
    </row>
    <row r="9" spans="1:25">
      <c r="A9" s="7" t="s">
        <v>18</v>
      </c>
      <c r="B9" s="7">
        <v>700057800</v>
      </c>
      <c r="C9" s="7">
        <v>7000412</v>
      </c>
      <c r="D9" s="7">
        <v>5443</v>
      </c>
      <c r="E9" s="7">
        <v>-68.291552300000006</v>
      </c>
      <c r="F9" s="7">
        <v>-31.8232745</v>
      </c>
      <c r="G9" s="7" t="s">
        <v>29</v>
      </c>
      <c r="H9" s="7" t="s">
        <v>20</v>
      </c>
      <c r="I9" s="7">
        <v>38.5</v>
      </c>
      <c r="J9" s="7">
        <f t="shared" si="0"/>
        <v>4</v>
      </c>
      <c r="K9" s="7">
        <v>49</v>
      </c>
      <c r="L9" s="7">
        <f t="shared" si="1"/>
        <v>5</v>
      </c>
      <c r="M9" s="9">
        <v>3.2638888888888891E-2</v>
      </c>
      <c r="N9" s="7">
        <v>5</v>
      </c>
      <c r="O9" s="7" t="str">
        <f t="shared" si="2"/>
        <v>INCONGRUENTE</v>
      </c>
      <c r="P9" s="7" t="s">
        <v>21</v>
      </c>
      <c r="Q9" s="7" t="s">
        <v>22</v>
      </c>
      <c r="R9" s="7" t="s">
        <v>23</v>
      </c>
      <c r="S9" s="6"/>
      <c r="T9" s="6"/>
      <c r="U9" s="6"/>
      <c r="V9" s="6"/>
      <c r="W9" s="6"/>
      <c r="X9" s="6"/>
      <c r="Y9" s="6"/>
    </row>
    <row r="10" spans="1:25">
      <c r="A10" s="17" t="s">
        <v>26</v>
      </c>
      <c r="B10" s="17">
        <v>700019300</v>
      </c>
      <c r="C10" s="17">
        <v>7000413</v>
      </c>
      <c r="D10" s="17">
        <v>5443</v>
      </c>
      <c r="E10" s="17">
        <v>-67.280842399999997</v>
      </c>
      <c r="F10" s="17">
        <v>-32.2949658</v>
      </c>
      <c r="G10" s="17" t="s">
        <v>30</v>
      </c>
      <c r="H10" s="17" t="s">
        <v>20</v>
      </c>
      <c r="I10" s="17">
        <v>145</v>
      </c>
      <c r="J10" s="17">
        <f t="shared" si="0"/>
        <v>6</v>
      </c>
      <c r="K10" s="17">
        <v>167</v>
      </c>
      <c r="L10" s="17">
        <f t="shared" si="1"/>
        <v>6</v>
      </c>
      <c r="M10" s="18">
        <v>8.3333333333333329E-2</v>
      </c>
      <c r="N10" s="17">
        <v>7</v>
      </c>
      <c r="O10" s="13" t="str">
        <f>IF(AVERAGE(J10,L10)=N10,"COINCIDE",IF(L10=N10,"INCONGRUENTE",IF(N10=7,"COINCIDE","DISTINTO")))</f>
        <v>COINCIDE</v>
      </c>
      <c r="P10" s="17" t="s">
        <v>21</v>
      </c>
      <c r="Q10" s="17" t="s">
        <v>22</v>
      </c>
      <c r="R10" s="17" t="s">
        <v>23</v>
      </c>
      <c r="S10" s="6"/>
      <c r="T10" s="6"/>
      <c r="U10" s="6"/>
      <c r="V10" s="6"/>
      <c r="W10" s="6"/>
      <c r="X10" s="6"/>
      <c r="Y10" s="6"/>
    </row>
    <row r="11" spans="1:25">
      <c r="A11" s="7" t="s">
        <v>18</v>
      </c>
      <c r="B11" s="7">
        <v>700023400</v>
      </c>
      <c r="C11" s="7">
        <v>7000414</v>
      </c>
      <c r="D11" s="7">
        <v>5443</v>
      </c>
      <c r="E11" s="7">
        <v>-68.323968100000002</v>
      </c>
      <c r="F11" s="7">
        <v>-31.816820400000001</v>
      </c>
      <c r="G11" s="7" t="s">
        <v>31</v>
      </c>
      <c r="H11" s="7" t="s">
        <v>20</v>
      </c>
      <c r="I11" s="7">
        <v>37.1</v>
      </c>
      <c r="J11" s="7">
        <f t="shared" si="0"/>
        <v>4</v>
      </c>
      <c r="K11" s="7">
        <v>46</v>
      </c>
      <c r="L11" s="7">
        <f t="shared" si="1"/>
        <v>5</v>
      </c>
      <c r="M11" s="9">
        <v>3.125E-2</v>
      </c>
      <c r="N11" s="7">
        <v>5</v>
      </c>
      <c r="O11" s="7" t="str">
        <f t="shared" ref="O11:O13" si="3">IF(AVERAGE(J11,L11)=N11,"COINCIDE",IF(L11=N11,"INCONGRUENTE","DISTINTO"))</f>
        <v>INCONGRUENTE</v>
      </c>
      <c r="P11" s="7" t="s">
        <v>21</v>
      </c>
      <c r="Q11" s="7" t="s">
        <v>22</v>
      </c>
      <c r="R11" s="7" t="s">
        <v>23</v>
      </c>
      <c r="S11" s="6"/>
      <c r="T11" s="6"/>
      <c r="U11" s="6"/>
      <c r="V11" s="6"/>
      <c r="W11" s="6"/>
      <c r="X11" s="6"/>
      <c r="Y11" s="6"/>
    </row>
    <row r="12" spans="1:25">
      <c r="A12" s="7" t="s">
        <v>18</v>
      </c>
      <c r="B12" s="7">
        <v>700023500</v>
      </c>
      <c r="C12" s="7">
        <v>7000416</v>
      </c>
      <c r="D12" s="7">
        <v>5443</v>
      </c>
      <c r="E12" s="7">
        <v>-68.352429000000001</v>
      </c>
      <c r="F12" s="7">
        <v>-31.8001316</v>
      </c>
      <c r="G12" s="7" t="s">
        <v>31</v>
      </c>
      <c r="H12" s="7" t="s">
        <v>20</v>
      </c>
      <c r="I12" s="7">
        <v>33.200000000000003</v>
      </c>
      <c r="J12" s="7">
        <f t="shared" si="0"/>
        <v>4</v>
      </c>
      <c r="K12" s="7">
        <v>42</v>
      </c>
      <c r="L12" s="7">
        <f t="shared" si="1"/>
        <v>5</v>
      </c>
      <c r="M12" s="9">
        <v>2.9166666666666664E-2</v>
      </c>
      <c r="N12" s="7">
        <v>5</v>
      </c>
      <c r="O12" s="7" t="str">
        <f t="shared" si="3"/>
        <v>INCONGRUENTE</v>
      </c>
      <c r="P12" s="7" t="s">
        <v>21</v>
      </c>
      <c r="Q12" s="7" t="s">
        <v>22</v>
      </c>
      <c r="R12" s="7" t="s">
        <v>23</v>
      </c>
      <c r="S12" s="6"/>
      <c r="T12" s="6"/>
      <c r="U12" s="6"/>
      <c r="V12" s="6"/>
      <c r="W12" s="6"/>
      <c r="X12" s="6"/>
      <c r="Y12" s="6"/>
    </row>
    <row r="13" spans="1:25">
      <c r="A13" s="7" t="s">
        <v>18</v>
      </c>
      <c r="B13" s="7">
        <v>700057300</v>
      </c>
      <c r="C13" s="7">
        <v>7000417</v>
      </c>
      <c r="D13" s="7">
        <v>5443</v>
      </c>
      <c r="E13" s="7">
        <v>-68.294029399999999</v>
      </c>
      <c r="F13" s="7">
        <v>-31.7861458</v>
      </c>
      <c r="G13" s="7" t="s">
        <v>31</v>
      </c>
      <c r="H13" s="7" t="s">
        <v>20</v>
      </c>
      <c r="I13" s="7">
        <v>35.5</v>
      </c>
      <c r="J13" s="7">
        <f t="shared" si="0"/>
        <v>4</v>
      </c>
      <c r="K13" s="7">
        <v>44</v>
      </c>
      <c r="L13" s="7">
        <f t="shared" si="1"/>
        <v>5</v>
      </c>
      <c r="M13" s="9">
        <v>3.125E-2</v>
      </c>
      <c r="N13" s="7">
        <v>5</v>
      </c>
      <c r="O13" s="7" t="str">
        <f t="shared" si="3"/>
        <v>INCONGRUENTE</v>
      </c>
      <c r="P13" s="7" t="s">
        <v>21</v>
      </c>
      <c r="Q13" s="7" t="s">
        <v>22</v>
      </c>
      <c r="R13" s="7" t="s">
        <v>23</v>
      </c>
      <c r="S13" s="6"/>
      <c r="T13" s="6"/>
      <c r="U13" s="6"/>
      <c r="V13" s="6"/>
      <c r="W13" s="6"/>
      <c r="X13" s="6"/>
      <c r="Y13" s="6"/>
    </row>
    <row r="14" spans="1:25">
      <c r="A14" s="11" t="s">
        <v>18</v>
      </c>
      <c r="B14" s="11">
        <v>700023200</v>
      </c>
      <c r="C14" s="11">
        <v>7000418</v>
      </c>
      <c r="D14" s="11">
        <v>5443</v>
      </c>
      <c r="E14" s="11">
        <v>-68.245951199999993</v>
      </c>
      <c r="F14" s="11">
        <v>-31.7120575</v>
      </c>
      <c r="G14" s="11" t="s">
        <v>32</v>
      </c>
      <c r="H14" s="11" t="s">
        <v>20</v>
      </c>
      <c r="I14" s="11">
        <v>32.799999999999997</v>
      </c>
      <c r="J14" s="11">
        <f t="shared" si="0"/>
        <v>4</v>
      </c>
      <c r="K14" s="11">
        <v>40</v>
      </c>
      <c r="L14" s="11">
        <f t="shared" si="1"/>
        <v>4</v>
      </c>
      <c r="M14" s="12">
        <v>2.8472222222222222E-2</v>
      </c>
      <c r="N14" s="11">
        <v>5</v>
      </c>
      <c r="O14" s="11" t="str">
        <f>IF(AVERAGE(J14,L14)=N14,"COINCIDE",IF(L14=N14,"INCONGRUENTE",IF(N14=7,"COINCIDE","DISTINTO")))</f>
        <v>DISTINTO</v>
      </c>
      <c r="P14" s="11" t="s">
        <v>21</v>
      </c>
      <c r="Q14" s="11" t="s">
        <v>22</v>
      </c>
      <c r="R14" s="11" t="s">
        <v>23</v>
      </c>
      <c r="S14" s="6"/>
      <c r="T14" s="6"/>
      <c r="U14" s="6"/>
      <c r="V14" s="6"/>
      <c r="W14" s="6"/>
      <c r="X14" s="6"/>
      <c r="Y14" s="6"/>
    </row>
    <row r="15" spans="1:25">
      <c r="A15" s="7" t="s">
        <v>18</v>
      </c>
      <c r="B15" s="7">
        <v>700057400</v>
      </c>
      <c r="C15" s="7">
        <v>7000419</v>
      </c>
      <c r="D15" s="7">
        <v>5443</v>
      </c>
      <c r="E15" s="7">
        <v>-68.249146699999997</v>
      </c>
      <c r="F15" s="7">
        <v>-31.758623400000001</v>
      </c>
      <c r="G15" s="7" t="s">
        <v>32</v>
      </c>
      <c r="H15" s="7" t="s">
        <v>20</v>
      </c>
      <c r="I15" s="7">
        <v>36.299999999999997</v>
      </c>
      <c r="J15" s="7">
        <f t="shared" si="0"/>
        <v>4</v>
      </c>
      <c r="K15" s="7">
        <v>44</v>
      </c>
      <c r="L15" s="7">
        <f t="shared" si="1"/>
        <v>5</v>
      </c>
      <c r="M15" s="9">
        <v>2.9166666666666664E-2</v>
      </c>
      <c r="N15" s="7">
        <v>5</v>
      </c>
      <c r="O15" s="7" t="str">
        <f>IF(AVERAGE(J15,L15)=N15,"COINCIDE",IF(L15=N15,"INCONGRUENTE","DISTINTO"))</f>
        <v>INCONGRUENTE</v>
      </c>
      <c r="P15" s="7" t="s">
        <v>21</v>
      </c>
      <c r="Q15" s="7" t="s">
        <v>22</v>
      </c>
      <c r="R15" s="7" t="s">
        <v>23</v>
      </c>
      <c r="S15" s="6"/>
      <c r="T15" s="6"/>
      <c r="U15" s="6"/>
      <c r="V15" s="6"/>
      <c r="W15" s="6"/>
      <c r="X15" s="6"/>
      <c r="Y15" s="6"/>
    </row>
    <row r="16" spans="1:25">
      <c r="A16" s="11" t="s">
        <v>18</v>
      </c>
      <c r="B16" s="11">
        <v>700057500</v>
      </c>
      <c r="C16" s="11">
        <v>7000420</v>
      </c>
      <c r="D16" s="11">
        <v>5443</v>
      </c>
      <c r="E16" s="11">
        <v>-68.266521400000002</v>
      </c>
      <c r="F16" s="11">
        <v>-31.732492499999999</v>
      </c>
      <c r="G16" s="11" t="s">
        <v>29</v>
      </c>
      <c r="H16" s="11" t="s">
        <v>20</v>
      </c>
      <c r="I16" s="11">
        <v>32.9</v>
      </c>
      <c r="J16" s="11">
        <f t="shared" si="0"/>
        <v>4</v>
      </c>
      <c r="K16" s="11">
        <v>40</v>
      </c>
      <c r="L16" s="11">
        <f t="shared" si="1"/>
        <v>4</v>
      </c>
      <c r="M16" s="12">
        <v>2.9166666666666664E-2</v>
      </c>
      <c r="N16" s="11">
        <v>5</v>
      </c>
      <c r="O16" s="11" t="str">
        <f t="shared" ref="O16:O19" si="4">IF(AVERAGE(J16,L16)=N16,"COINCIDE",IF(L16=N16,"INCONGRUENTE",IF(N16=7,"COINCIDE","DISTINTO")))</f>
        <v>DISTINTO</v>
      </c>
      <c r="P16" s="11" t="s">
        <v>21</v>
      </c>
      <c r="Q16" s="11" t="s">
        <v>22</v>
      </c>
      <c r="R16" s="11" t="s">
        <v>23</v>
      </c>
      <c r="S16" s="6"/>
      <c r="T16" s="6"/>
      <c r="U16" s="6"/>
      <c r="V16" s="6"/>
      <c r="W16" s="6"/>
      <c r="X16" s="6"/>
      <c r="Y16" s="6"/>
    </row>
    <row r="17" spans="1:25">
      <c r="A17" s="11" t="s">
        <v>18</v>
      </c>
      <c r="B17" s="11">
        <v>700019200</v>
      </c>
      <c r="C17" s="11">
        <v>7000421</v>
      </c>
      <c r="D17" s="11">
        <v>5443</v>
      </c>
      <c r="E17" s="11">
        <v>-68.210383500000006</v>
      </c>
      <c r="F17" s="11">
        <v>-32.035630900000001</v>
      </c>
      <c r="G17" s="11" t="s">
        <v>33</v>
      </c>
      <c r="H17" s="11" t="s">
        <v>20</v>
      </c>
      <c r="I17" s="11">
        <v>62.7</v>
      </c>
      <c r="J17" s="11">
        <f t="shared" si="0"/>
        <v>5</v>
      </c>
      <c r="K17" s="11">
        <v>79</v>
      </c>
      <c r="L17" s="11">
        <f t="shared" si="1"/>
        <v>5</v>
      </c>
      <c r="M17" s="12">
        <v>4.9305555555555554E-2</v>
      </c>
      <c r="N17" s="11">
        <v>6</v>
      </c>
      <c r="O17" s="11" t="str">
        <f t="shared" si="4"/>
        <v>DISTINTO</v>
      </c>
      <c r="P17" s="11" t="s">
        <v>21</v>
      </c>
      <c r="Q17" s="11" t="s">
        <v>22</v>
      </c>
      <c r="R17" s="11" t="s">
        <v>23</v>
      </c>
      <c r="S17" s="6"/>
      <c r="T17" s="6"/>
      <c r="U17" s="6"/>
      <c r="V17" s="6"/>
      <c r="W17" s="6"/>
      <c r="X17" s="6"/>
      <c r="Y17" s="6"/>
    </row>
    <row r="18" spans="1:25">
      <c r="A18" s="19" t="s">
        <v>18</v>
      </c>
      <c r="B18" s="19">
        <v>700035700</v>
      </c>
      <c r="C18" s="19">
        <v>7000422</v>
      </c>
      <c r="D18" s="19">
        <v>5443</v>
      </c>
      <c r="E18" s="19">
        <v>-68.313599800000006</v>
      </c>
      <c r="F18" s="19">
        <v>-31.743046799999998</v>
      </c>
      <c r="G18" s="19" t="s">
        <v>19</v>
      </c>
      <c r="H18" s="19" t="s">
        <v>20</v>
      </c>
      <c r="I18" s="19">
        <v>30.4</v>
      </c>
      <c r="J18" s="19">
        <f t="shared" si="0"/>
        <v>4</v>
      </c>
      <c r="K18" s="19">
        <v>37</v>
      </c>
      <c r="L18" s="19">
        <f t="shared" si="1"/>
        <v>4</v>
      </c>
      <c r="M18" s="20">
        <v>2.5694444444444447E-2</v>
      </c>
      <c r="N18" s="19">
        <v>5</v>
      </c>
      <c r="O18" s="11" t="str">
        <f t="shared" si="4"/>
        <v>DISTINTO</v>
      </c>
      <c r="P18" s="19" t="s">
        <v>21</v>
      </c>
      <c r="Q18" s="19" t="s">
        <v>22</v>
      </c>
      <c r="R18" s="19" t="s">
        <v>23</v>
      </c>
      <c r="S18" s="6"/>
      <c r="T18" s="6"/>
      <c r="U18" s="6"/>
      <c r="V18" s="6"/>
      <c r="W18" s="6"/>
      <c r="X18" s="6"/>
      <c r="Y18" s="6"/>
    </row>
    <row r="19" spans="1:25">
      <c r="A19" s="11" t="s">
        <v>18</v>
      </c>
      <c r="B19" s="11">
        <v>700057600</v>
      </c>
      <c r="C19" s="11">
        <v>7000423</v>
      </c>
      <c r="D19" s="11">
        <v>5443</v>
      </c>
      <c r="E19" s="11">
        <v>-68.343821500000004</v>
      </c>
      <c r="F19" s="11">
        <v>-31.764875799999999</v>
      </c>
      <c r="G19" s="11" t="s">
        <v>19</v>
      </c>
      <c r="H19" s="11" t="s">
        <v>20</v>
      </c>
      <c r="I19" s="11">
        <v>30.6</v>
      </c>
      <c r="J19" s="11">
        <f t="shared" si="0"/>
        <v>4</v>
      </c>
      <c r="K19" s="11">
        <v>38</v>
      </c>
      <c r="L19" s="11">
        <f t="shared" si="1"/>
        <v>4</v>
      </c>
      <c r="M19" s="12">
        <v>2.5694444444444447E-2</v>
      </c>
      <c r="N19" s="11">
        <v>5</v>
      </c>
      <c r="O19" s="11" t="str">
        <f t="shared" si="4"/>
        <v>DISTINTO</v>
      </c>
      <c r="P19" s="11" t="s">
        <v>21</v>
      </c>
      <c r="Q19" s="11" t="s">
        <v>22</v>
      </c>
      <c r="R19" s="11" t="s">
        <v>23</v>
      </c>
      <c r="S19" s="6"/>
      <c r="T19" s="6"/>
      <c r="U19" s="6"/>
      <c r="V19" s="6"/>
      <c r="W19" s="6"/>
      <c r="X19" s="6"/>
      <c r="Y19" s="6"/>
    </row>
    <row r="20" spans="1:25">
      <c r="A20" s="7" t="s">
        <v>18</v>
      </c>
      <c r="B20" s="7">
        <v>700023600</v>
      </c>
      <c r="C20" s="7">
        <v>7000424</v>
      </c>
      <c r="D20" s="7">
        <v>5443</v>
      </c>
      <c r="E20" s="7">
        <v>-68.358771500000003</v>
      </c>
      <c r="F20" s="7">
        <v>-31.8375454</v>
      </c>
      <c r="G20" s="7" t="s">
        <v>34</v>
      </c>
      <c r="H20" s="7" t="s">
        <v>20</v>
      </c>
      <c r="I20" s="7">
        <v>37.200000000000003</v>
      </c>
      <c r="J20" s="7">
        <f t="shared" si="0"/>
        <v>4</v>
      </c>
      <c r="K20" s="7">
        <v>46</v>
      </c>
      <c r="L20" s="7">
        <f t="shared" si="1"/>
        <v>5</v>
      </c>
      <c r="M20" s="9">
        <v>3.0555555555555555E-2</v>
      </c>
      <c r="N20" s="7">
        <v>5</v>
      </c>
      <c r="O20" s="7" t="str">
        <f>IF(AVERAGE(J20,L20)=N20,"COINCIDE",IF(L20=N20,"INCONGRUENTE","DISTINTO"))</f>
        <v>INCONGRUENTE</v>
      </c>
      <c r="P20" s="7" t="s">
        <v>21</v>
      </c>
      <c r="Q20" s="7" t="s">
        <v>22</v>
      </c>
      <c r="R20" s="7" t="s">
        <v>23</v>
      </c>
      <c r="S20" s="6"/>
      <c r="T20" s="6"/>
      <c r="U20" s="6"/>
      <c r="V20" s="6"/>
      <c r="W20" s="6"/>
      <c r="X20" s="6"/>
      <c r="Y20" s="6"/>
    </row>
    <row r="21" spans="1:25" ht="15.75" customHeight="1">
      <c r="A21" s="11" t="s">
        <v>18</v>
      </c>
      <c r="B21" s="11">
        <v>700036000</v>
      </c>
      <c r="C21" s="11">
        <v>7000426</v>
      </c>
      <c r="D21" s="11">
        <v>5443</v>
      </c>
      <c r="E21" s="11">
        <v>-68.314361599999998</v>
      </c>
      <c r="F21" s="11">
        <v>-31.7470435</v>
      </c>
      <c r="G21" s="11" t="s">
        <v>35</v>
      </c>
      <c r="H21" s="11" t="s">
        <v>20</v>
      </c>
      <c r="I21" s="11">
        <v>31.4</v>
      </c>
      <c r="J21" s="11">
        <f t="shared" si="0"/>
        <v>4</v>
      </c>
      <c r="K21" s="11">
        <v>38</v>
      </c>
      <c r="L21" s="11">
        <f t="shared" si="1"/>
        <v>4</v>
      </c>
      <c r="M21" s="12">
        <v>2.6388888888888889E-2</v>
      </c>
      <c r="N21" s="11">
        <v>5</v>
      </c>
      <c r="O21" s="11" t="str">
        <f>IF(AVERAGE(J21,L21)=N21,"COINCIDE",IF(L21=N21,"INCONGRUENTE",IF(N21=7,"COINCIDE","DISTINTO")))</f>
        <v>DISTINTO</v>
      </c>
      <c r="P21" s="11" t="s">
        <v>21</v>
      </c>
      <c r="Q21" s="11" t="s">
        <v>22</v>
      </c>
      <c r="R21" s="21" t="s">
        <v>23</v>
      </c>
      <c r="S21" s="6"/>
      <c r="T21" s="6"/>
      <c r="U21" s="6"/>
      <c r="V21" s="6"/>
      <c r="W21" s="6"/>
      <c r="X21" s="6"/>
      <c r="Y21" s="6"/>
    </row>
    <row r="22" spans="1:25" ht="15.75" customHeight="1">
      <c r="A22" s="13" t="s">
        <v>18</v>
      </c>
      <c r="B22" s="13">
        <v>700065700</v>
      </c>
      <c r="C22" s="13">
        <v>7050445</v>
      </c>
      <c r="D22" s="13">
        <v>5443</v>
      </c>
      <c r="E22" s="13">
        <v>-68.323087900000004</v>
      </c>
      <c r="F22" s="13">
        <v>-31.861111399999999</v>
      </c>
      <c r="G22" s="13" t="s">
        <v>31</v>
      </c>
      <c r="H22" s="13" t="s">
        <v>20</v>
      </c>
      <c r="I22" s="13">
        <v>40.5</v>
      </c>
      <c r="J22" s="13">
        <f t="shared" si="0"/>
        <v>5</v>
      </c>
      <c r="K22" s="13">
        <v>52</v>
      </c>
      <c r="L22" s="13">
        <f t="shared" si="1"/>
        <v>5</v>
      </c>
      <c r="M22" s="14">
        <v>3.6805555555555557E-2</v>
      </c>
      <c r="N22" s="13">
        <v>5</v>
      </c>
      <c r="O22" s="13" t="str">
        <f t="shared" ref="O22:O24" si="5">IF(AVERAGE(J22,L22)=N22,"COINCIDE",IF(L22=N22,"INCONGRUENTE","DISTINTO"))</f>
        <v>COINCIDE</v>
      </c>
      <c r="P22" s="13" t="s">
        <v>21</v>
      </c>
      <c r="Q22" s="13" t="s">
        <v>22</v>
      </c>
      <c r="R22" s="13" t="s">
        <v>23</v>
      </c>
      <c r="S22" s="6"/>
      <c r="T22" s="6"/>
      <c r="U22" s="6"/>
      <c r="V22" s="6"/>
      <c r="W22" s="6"/>
      <c r="X22" s="6"/>
      <c r="Y22" s="6"/>
    </row>
    <row r="23" spans="1:25" ht="15.75" customHeight="1">
      <c r="A23" s="13" t="s">
        <v>18</v>
      </c>
      <c r="B23" s="13">
        <v>700057700</v>
      </c>
      <c r="C23" s="13" t="s">
        <v>36</v>
      </c>
      <c r="D23" s="13">
        <v>5443</v>
      </c>
      <c r="E23" s="13">
        <v>-68.826660799999999</v>
      </c>
      <c r="F23" s="13">
        <v>-31.2455383</v>
      </c>
      <c r="G23" s="13" t="s">
        <v>37</v>
      </c>
      <c r="H23" s="13" t="s">
        <v>20</v>
      </c>
      <c r="I23" s="13">
        <v>41.1</v>
      </c>
      <c r="J23" s="13">
        <f t="shared" si="0"/>
        <v>5</v>
      </c>
      <c r="K23" s="13">
        <v>52</v>
      </c>
      <c r="L23" s="13">
        <f t="shared" si="1"/>
        <v>5</v>
      </c>
      <c r="M23" s="14">
        <v>3.4722222222222224E-2</v>
      </c>
      <c r="N23" s="13">
        <v>5</v>
      </c>
      <c r="O23" s="13" t="str">
        <f t="shared" si="5"/>
        <v>COINCIDE</v>
      </c>
      <c r="P23" s="13" t="s">
        <v>21</v>
      </c>
      <c r="Q23" s="13" t="s">
        <v>22</v>
      </c>
      <c r="R23" s="17" t="s">
        <v>23</v>
      </c>
      <c r="S23" s="6"/>
      <c r="T23" s="6"/>
      <c r="U23" s="6"/>
      <c r="V23" s="6"/>
      <c r="W23" s="6"/>
      <c r="X23" s="6"/>
      <c r="Y23" s="6"/>
    </row>
    <row r="24" spans="1:25" ht="15.75" customHeight="1">
      <c r="A24" s="7" t="s">
        <v>38</v>
      </c>
      <c r="B24" s="7">
        <v>700057900</v>
      </c>
      <c r="C24" s="7" t="s">
        <v>39</v>
      </c>
      <c r="D24" s="7">
        <v>5443</v>
      </c>
      <c r="E24" s="7">
        <v>-68.326973899999999</v>
      </c>
      <c r="F24" s="7">
        <v>-31.818434100000001</v>
      </c>
      <c r="G24" s="7" t="s">
        <v>21</v>
      </c>
      <c r="H24" s="7" t="s">
        <v>20</v>
      </c>
      <c r="I24" s="7">
        <v>36.700000000000003</v>
      </c>
      <c r="J24" s="7">
        <f t="shared" si="0"/>
        <v>4</v>
      </c>
      <c r="K24" s="7">
        <v>46</v>
      </c>
      <c r="L24" s="7">
        <f t="shared" si="1"/>
        <v>5</v>
      </c>
      <c r="M24" s="9">
        <v>3.0555555555555555E-2</v>
      </c>
      <c r="N24" s="7">
        <v>5</v>
      </c>
      <c r="O24" s="7" t="str">
        <f t="shared" si="5"/>
        <v>INCONGRUENTE</v>
      </c>
      <c r="P24" s="7" t="s">
        <v>21</v>
      </c>
      <c r="Q24" s="7" t="s">
        <v>22</v>
      </c>
      <c r="R24" s="7" t="s">
        <v>23</v>
      </c>
      <c r="S24" s="6"/>
      <c r="T24" s="6"/>
      <c r="U24" s="6"/>
      <c r="V24" s="6"/>
      <c r="W24" s="6"/>
      <c r="X24" s="6"/>
      <c r="Y24" s="6"/>
    </row>
    <row r="25" spans="1:25" ht="15.75" customHeight="1">
      <c r="A25" s="11" t="s">
        <v>40</v>
      </c>
      <c r="B25" s="11">
        <v>700093100</v>
      </c>
      <c r="C25" s="11" t="s">
        <v>41</v>
      </c>
      <c r="D25" s="11">
        <v>5443</v>
      </c>
      <c r="E25" s="11">
        <v>-68.324722300000005</v>
      </c>
      <c r="F25" s="11">
        <v>-31.745397499999999</v>
      </c>
      <c r="G25" s="11" t="s">
        <v>19</v>
      </c>
      <c r="H25" s="11" t="s">
        <v>20</v>
      </c>
      <c r="I25" s="11">
        <v>29.7</v>
      </c>
      <c r="J25" s="11">
        <f t="shared" si="0"/>
        <v>4</v>
      </c>
      <c r="K25" s="11">
        <v>36</v>
      </c>
      <c r="L25" s="11">
        <f t="shared" si="1"/>
        <v>4</v>
      </c>
      <c r="M25" s="12">
        <v>2.4999999999999998E-2</v>
      </c>
      <c r="N25" s="11">
        <v>5</v>
      </c>
      <c r="O25" s="11" t="str">
        <f t="shared" ref="O25:O26" si="6">IF(AVERAGE(J25,L25)=N25,"COINCIDE",IF(L25=N25,"INCONGRUENTE",IF(N25=7,"COINCIDE","DISTINTO")))</f>
        <v>DISTINTO</v>
      </c>
      <c r="P25" s="11" t="s">
        <v>21</v>
      </c>
      <c r="Q25" s="11" t="s">
        <v>22</v>
      </c>
      <c r="R25" s="21" t="s">
        <v>23</v>
      </c>
      <c r="S25" s="6"/>
      <c r="T25" s="6"/>
      <c r="U25" s="6"/>
      <c r="V25" s="6"/>
      <c r="W25" s="6"/>
      <c r="X25" s="6"/>
      <c r="Y25" s="6"/>
    </row>
    <row r="26" spans="1:25" ht="15.75" customHeight="1">
      <c r="A26" s="11" t="s">
        <v>42</v>
      </c>
      <c r="B26" s="11">
        <v>700095600</v>
      </c>
      <c r="C26" s="11" t="s">
        <v>43</v>
      </c>
      <c r="D26" s="11">
        <v>5443</v>
      </c>
      <c r="E26" s="11">
        <v>-68.313513799999996</v>
      </c>
      <c r="F26" s="11">
        <v>-31.742347899999999</v>
      </c>
      <c r="G26" s="11" t="s">
        <v>19</v>
      </c>
      <c r="H26" s="11" t="s">
        <v>20</v>
      </c>
      <c r="I26" s="11">
        <v>30.2</v>
      </c>
      <c r="J26" s="11">
        <f t="shared" si="0"/>
        <v>4</v>
      </c>
      <c r="K26" s="11">
        <v>37</v>
      </c>
      <c r="L26" s="11">
        <f t="shared" si="1"/>
        <v>4</v>
      </c>
      <c r="M26" s="12">
        <v>2.4999999999999998E-2</v>
      </c>
      <c r="N26" s="11">
        <v>5</v>
      </c>
      <c r="O26" s="11" t="str">
        <f t="shared" si="6"/>
        <v>DISTINTO</v>
      </c>
      <c r="P26" s="11" t="s">
        <v>21</v>
      </c>
      <c r="Q26" s="11" t="s">
        <v>22</v>
      </c>
      <c r="R26" s="11" t="s">
        <v>23</v>
      </c>
      <c r="S26" s="6"/>
      <c r="T26" s="6"/>
      <c r="U26" s="6"/>
      <c r="V26" s="6"/>
      <c r="W26" s="6"/>
      <c r="X26" s="6"/>
      <c r="Y26" s="6"/>
    </row>
    <row r="27" spans="1:25" ht="15.75" customHeight="1">
      <c r="A27" s="7" t="s">
        <v>38</v>
      </c>
      <c r="B27" s="7">
        <v>700021600</v>
      </c>
      <c r="C27" s="7">
        <v>7000225</v>
      </c>
      <c r="D27" s="7">
        <v>5417</v>
      </c>
      <c r="E27" s="7">
        <v>-68.381082399999997</v>
      </c>
      <c r="F27" s="7">
        <v>-31.661485299999999</v>
      </c>
      <c r="G27" s="7" t="s">
        <v>44</v>
      </c>
      <c r="H27" s="7" t="s">
        <v>20</v>
      </c>
      <c r="I27" s="7">
        <v>19.600000000000001</v>
      </c>
      <c r="J27" s="7">
        <f t="shared" si="0"/>
        <v>3</v>
      </c>
      <c r="K27" s="7">
        <v>24</v>
      </c>
      <c r="L27" s="7">
        <f t="shared" si="1"/>
        <v>4</v>
      </c>
      <c r="M27" s="9">
        <v>1.8055555555555557E-2</v>
      </c>
      <c r="N27" s="7">
        <v>4</v>
      </c>
      <c r="O27" s="7" t="str">
        <f t="shared" ref="O27:O36" si="7">IF(AVERAGE(J27,L27)=N27,"COINCIDE",IF(L27=N27,"INCONGRUENTE","DISTINTO"))</f>
        <v>INCONGRUENTE</v>
      </c>
      <c r="P27" s="7" t="s">
        <v>45</v>
      </c>
      <c r="Q27" s="7" t="s">
        <v>22</v>
      </c>
      <c r="R27" s="7" t="s">
        <v>23</v>
      </c>
      <c r="S27" s="6"/>
      <c r="T27" s="6"/>
      <c r="U27" s="6"/>
      <c r="V27" s="6"/>
      <c r="W27" s="6"/>
      <c r="X27" s="6"/>
      <c r="Y27" s="6"/>
    </row>
    <row r="28" spans="1:25" ht="15.75" customHeight="1">
      <c r="A28" s="13" t="s">
        <v>18</v>
      </c>
      <c r="B28" s="13">
        <v>700021400</v>
      </c>
      <c r="C28" s="13">
        <v>7000226</v>
      </c>
      <c r="D28" s="13">
        <v>5417</v>
      </c>
      <c r="E28" s="13">
        <v>-68.368772300000003</v>
      </c>
      <c r="F28" s="13">
        <v>-31.701916000000001</v>
      </c>
      <c r="G28" s="13" t="s">
        <v>46</v>
      </c>
      <c r="H28" s="13" t="s">
        <v>20</v>
      </c>
      <c r="I28" s="13">
        <v>23.7</v>
      </c>
      <c r="J28" s="13">
        <f t="shared" si="0"/>
        <v>4</v>
      </c>
      <c r="K28" s="13">
        <v>29</v>
      </c>
      <c r="L28" s="13">
        <f t="shared" si="1"/>
        <v>4</v>
      </c>
      <c r="M28" s="14">
        <v>2.013888888888889E-2</v>
      </c>
      <c r="N28" s="13">
        <v>4</v>
      </c>
      <c r="O28" s="13" t="str">
        <f t="shared" si="7"/>
        <v>COINCIDE</v>
      </c>
      <c r="P28" s="13" t="s">
        <v>45</v>
      </c>
      <c r="Q28" s="13" t="s">
        <v>22</v>
      </c>
      <c r="R28" s="13" t="s">
        <v>23</v>
      </c>
      <c r="S28" s="6"/>
      <c r="T28" s="6"/>
      <c r="U28" s="6"/>
      <c r="V28" s="6"/>
      <c r="W28" s="6"/>
      <c r="X28" s="6"/>
      <c r="Y28" s="6"/>
    </row>
    <row r="29" spans="1:25" ht="15.75" customHeight="1">
      <c r="A29" s="13" t="s">
        <v>18</v>
      </c>
      <c r="B29" s="13">
        <v>700039500</v>
      </c>
      <c r="C29" s="13">
        <v>7000227</v>
      </c>
      <c r="D29" s="13">
        <v>5417</v>
      </c>
      <c r="E29" s="13">
        <v>-68.411560199999997</v>
      </c>
      <c r="F29" s="13">
        <v>-31.591664399999999</v>
      </c>
      <c r="G29" s="13" t="s">
        <v>47</v>
      </c>
      <c r="H29" s="13" t="s">
        <v>20</v>
      </c>
      <c r="I29" s="13">
        <v>12.4</v>
      </c>
      <c r="J29" s="13">
        <f t="shared" si="0"/>
        <v>3</v>
      </c>
      <c r="K29" s="13">
        <v>14</v>
      </c>
      <c r="L29" s="13">
        <f t="shared" si="1"/>
        <v>3</v>
      </c>
      <c r="M29" s="14">
        <v>1.2499999999999999E-2</v>
      </c>
      <c r="N29" s="13">
        <v>3</v>
      </c>
      <c r="O29" s="13" t="str">
        <f t="shared" si="7"/>
        <v>COINCIDE</v>
      </c>
      <c r="P29" s="13" t="s">
        <v>45</v>
      </c>
      <c r="Q29" s="13" t="s">
        <v>22</v>
      </c>
      <c r="R29" s="13" t="s">
        <v>23</v>
      </c>
      <c r="S29" s="6"/>
      <c r="T29" s="6"/>
      <c r="U29" s="6"/>
      <c r="V29" s="6"/>
      <c r="W29" s="6"/>
      <c r="X29" s="6"/>
      <c r="Y29" s="6"/>
    </row>
    <row r="30" spans="1:25" ht="15.75" customHeight="1">
      <c r="A30" s="13" t="s">
        <v>18</v>
      </c>
      <c r="B30" s="13">
        <v>700039400</v>
      </c>
      <c r="C30" s="13">
        <v>7000228</v>
      </c>
      <c r="D30" s="13">
        <v>5417</v>
      </c>
      <c r="E30" s="13">
        <v>-68.378459800000002</v>
      </c>
      <c r="F30" s="13">
        <v>-31.607482399999999</v>
      </c>
      <c r="G30" s="13" t="s">
        <v>48</v>
      </c>
      <c r="H30" s="13" t="s">
        <v>20</v>
      </c>
      <c r="I30" s="13">
        <v>16.100000000000001</v>
      </c>
      <c r="J30" s="13">
        <f t="shared" si="0"/>
        <v>3</v>
      </c>
      <c r="K30" s="13">
        <v>18</v>
      </c>
      <c r="L30" s="13">
        <f t="shared" si="1"/>
        <v>3</v>
      </c>
      <c r="M30" s="14">
        <v>1.3888888888888888E-2</v>
      </c>
      <c r="N30" s="13">
        <v>3</v>
      </c>
      <c r="O30" s="13" t="str">
        <f t="shared" si="7"/>
        <v>COINCIDE</v>
      </c>
      <c r="P30" s="13" t="s">
        <v>45</v>
      </c>
      <c r="Q30" s="13" t="s">
        <v>22</v>
      </c>
      <c r="R30" s="13" t="s">
        <v>23</v>
      </c>
      <c r="S30" s="6"/>
      <c r="T30" s="6"/>
      <c r="U30" s="6"/>
      <c r="V30" s="6"/>
      <c r="W30" s="6"/>
      <c r="X30" s="6"/>
      <c r="Y30" s="6"/>
    </row>
    <row r="31" spans="1:25" ht="15.75" customHeight="1">
      <c r="A31" s="7" t="s">
        <v>18</v>
      </c>
      <c r="B31" s="7">
        <v>700021300</v>
      </c>
      <c r="C31" s="7">
        <v>7000229</v>
      </c>
      <c r="D31" s="7">
        <v>5417</v>
      </c>
      <c r="E31" s="7">
        <v>-68.373940899999994</v>
      </c>
      <c r="F31" s="7">
        <v>-31.648353100000001</v>
      </c>
      <c r="G31" s="7" t="s">
        <v>48</v>
      </c>
      <c r="H31" s="7" t="s">
        <v>20</v>
      </c>
      <c r="I31" s="7">
        <v>18.7</v>
      </c>
      <c r="J31" s="7">
        <f t="shared" si="0"/>
        <v>3</v>
      </c>
      <c r="K31" s="7">
        <v>24</v>
      </c>
      <c r="L31" s="7">
        <f t="shared" si="1"/>
        <v>4</v>
      </c>
      <c r="M31" s="9">
        <v>1.8749999999999999E-2</v>
      </c>
      <c r="N31" s="7">
        <v>4</v>
      </c>
      <c r="O31" s="7" t="str">
        <f t="shared" si="7"/>
        <v>INCONGRUENTE</v>
      </c>
      <c r="P31" s="7" t="s">
        <v>45</v>
      </c>
      <c r="Q31" s="7" t="s">
        <v>22</v>
      </c>
      <c r="R31" s="7" t="s">
        <v>23</v>
      </c>
      <c r="S31" s="6"/>
      <c r="T31" s="6"/>
      <c r="U31" s="6"/>
      <c r="V31" s="6"/>
      <c r="W31" s="6"/>
      <c r="X31" s="6"/>
      <c r="Y31" s="6"/>
    </row>
    <row r="32" spans="1:25" ht="15.75" customHeight="1">
      <c r="A32" s="7" t="s">
        <v>18</v>
      </c>
      <c r="B32" s="7">
        <v>700056500</v>
      </c>
      <c r="C32" s="7">
        <v>7000230</v>
      </c>
      <c r="D32" s="7">
        <v>5417</v>
      </c>
      <c r="E32" s="7">
        <v>-68.390877500000002</v>
      </c>
      <c r="F32" s="7">
        <v>-31.668890399999999</v>
      </c>
      <c r="G32" s="7" t="s">
        <v>44</v>
      </c>
      <c r="H32" s="7" t="s">
        <v>20</v>
      </c>
      <c r="I32" s="7">
        <v>19.399999999999999</v>
      </c>
      <c r="J32" s="7">
        <f t="shared" si="0"/>
        <v>3</v>
      </c>
      <c r="K32" s="7">
        <v>24</v>
      </c>
      <c r="L32" s="7">
        <f t="shared" si="1"/>
        <v>4</v>
      </c>
      <c r="M32" s="9">
        <v>1.7361111111111112E-2</v>
      </c>
      <c r="N32" s="7">
        <v>4</v>
      </c>
      <c r="O32" s="7" t="str">
        <f t="shared" si="7"/>
        <v>INCONGRUENTE</v>
      </c>
      <c r="P32" s="7" t="s">
        <v>45</v>
      </c>
      <c r="Q32" s="7" t="s">
        <v>22</v>
      </c>
      <c r="R32" s="7" t="s">
        <v>23</v>
      </c>
      <c r="S32" s="6"/>
      <c r="T32" s="6"/>
      <c r="U32" s="6"/>
      <c r="V32" s="6"/>
      <c r="W32" s="6"/>
      <c r="X32" s="6"/>
      <c r="Y32" s="6"/>
    </row>
    <row r="33" spans="1:25" ht="15.75" customHeight="1">
      <c r="A33" s="22" t="s">
        <v>40</v>
      </c>
      <c r="B33" s="22">
        <v>700021500</v>
      </c>
      <c r="C33" s="22" t="s">
        <v>49</v>
      </c>
      <c r="D33" s="22">
        <v>5417</v>
      </c>
      <c r="E33" s="22">
        <v>-68.392110700000003</v>
      </c>
      <c r="F33" s="22">
        <v>-31.668271499999999</v>
      </c>
      <c r="G33" s="22" t="s">
        <v>50</v>
      </c>
      <c r="H33" s="22" t="s">
        <v>20</v>
      </c>
      <c r="I33" s="22">
        <v>19.5</v>
      </c>
      <c r="J33" s="22">
        <f t="shared" si="0"/>
        <v>3</v>
      </c>
      <c r="K33" s="22">
        <v>24</v>
      </c>
      <c r="L33" s="22">
        <f t="shared" si="1"/>
        <v>4</v>
      </c>
      <c r="M33" s="23">
        <v>1.6666666666666666E-2</v>
      </c>
      <c r="N33" s="22">
        <v>4</v>
      </c>
      <c r="O33" s="22" t="str">
        <f t="shared" si="7"/>
        <v>INCONGRUENTE</v>
      </c>
      <c r="P33" s="22" t="s">
        <v>45</v>
      </c>
      <c r="Q33" s="22" t="s">
        <v>22</v>
      </c>
      <c r="R33" s="22" t="s">
        <v>23</v>
      </c>
      <c r="S33" s="6"/>
      <c r="T33" s="6"/>
      <c r="U33" s="6"/>
      <c r="V33" s="6"/>
      <c r="W33" s="6"/>
      <c r="X33" s="6"/>
      <c r="Y33" s="6"/>
    </row>
    <row r="34" spans="1:25" ht="15.75" customHeight="1">
      <c r="A34" s="17" t="s">
        <v>18</v>
      </c>
      <c r="B34" s="17">
        <v>700038100</v>
      </c>
      <c r="C34" s="17">
        <v>7000001</v>
      </c>
      <c r="D34" s="17">
        <v>5419</v>
      </c>
      <c r="E34" s="17">
        <v>-68.546120700000003</v>
      </c>
      <c r="F34" s="17">
        <v>-31.4223061</v>
      </c>
      <c r="G34" s="17" t="s">
        <v>51</v>
      </c>
      <c r="H34" s="17" t="s">
        <v>20</v>
      </c>
      <c r="I34" s="17">
        <v>13</v>
      </c>
      <c r="J34" s="17">
        <f t="shared" si="0"/>
        <v>3</v>
      </c>
      <c r="K34" s="17">
        <v>16</v>
      </c>
      <c r="L34" s="17">
        <f t="shared" si="1"/>
        <v>3</v>
      </c>
      <c r="M34" s="18">
        <v>1.3888888888888888E-2</v>
      </c>
      <c r="N34" s="17">
        <v>3</v>
      </c>
      <c r="O34" s="17" t="str">
        <f t="shared" si="7"/>
        <v>COINCIDE</v>
      </c>
      <c r="P34" s="17" t="s">
        <v>52</v>
      </c>
      <c r="Q34" s="17" t="s">
        <v>22</v>
      </c>
      <c r="R34" s="17" t="s">
        <v>23</v>
      </c>
      <c r="S34" s="6"/>
      <c r="T34" s="6"/>
      <c r="U34" s="6"/>
      <c r="V34" s="6"/>
      <c r="W34" s="6"/>
      <c r="X34" s="6"/>
      <c r="Y34" s="6"/>
    </row>
    <row r="35" spans="1:25" ht="15.75" customHeight="1">
      <c r="A35" s="13" t="s">
        <v>18</v>
      </c>
      <c r="B35" s="13">
        <v>700037800</v>
      </c>
      <c r="C35" s="13">
        <v>7000003</v>
      </c>
      <c r="D35" s="13">
        <v>5419</v>
      </c>
      <c r="E35" s="13">
        <v>-68.521912299999997</v>
      </c>
      <c r="F35" s="13">
        <v>-31.438265600000001</v>
      </c>
      <c r="G35" s="13" t="s">
        <v>53</v>
      </c>
      <c r="H35" s="13" t="s">
        <v>20</v>
      </c>
      <c r="I35" s="13">
        <v>11.1</v>
      </c>
      <c r="J35" s="13">
        <f t="shared" si="0"/>
        <v>3</v>
      </c>
      <c r="K35" s="13">
        <v>13</v>
      </c>
      <c r="L35" s="13">
        <f t="shared" si="1"/>
        <v>3</v>
      </c>
      <c r="M35" s="14">
        <v>1.1805555555555555E-2</v>
      </c>
      <c r="N35" s="13">
        <v>3</v>
      </c>
      <c r="O35" s="13" t="str">
        <f t="shared" si="7"/>
        <v>COINCIDE</v>
      </c>
      <c r="P35" s="13" t="s">
        <v>52</v>
      </c>
      <c r="Q35" s="13" t="s">
        <v>22</v>
      </c>
      <c r="R35" s="13" t="s">
        <v>54</v>
      </c>
      <c r="S35" s="6"/>
      <c r="T35" s="6"/>
      <c r="U35" s="6"/>
      <c r="V35" s="6"/>
      <c r="W35" s="6"/>
      <c r="X35" s="6"/>
      <c r="Y35" s="6"/>
    </row>
    <row r="36" spans="1:25" ht="15.75" customHeight="1">
      <c r="A36" s="13" t="s">
        <v>18</v>
      </c>
      <c r="B36" s="13">
        <v>700037600</v>
      </c>
      <c r="C36" s="13">
        <v>7000006</v>
      </c>
      <c r="D36" s="13">
        <v>5419</v>
      </c>
      <c r="E36" s="13">
        <v>-68.488803000000004</v>
      </c>
      <c r="F36" s="13">
        <v>-31.4248844</v>
      </c>
      <c r="G36" s="13" t="s">
        <v>55</v>
      </c>
      <c r="H36" s="13" t="s">
        <v>20</v>
      </c>
      <c r="I36" s="13">
        <v>13</v>
      </c>
      <c r="J36" s="13">
        <f t="shared" si="0"/>
        <v>3</v>
      </c>
      <c r="K36" s="13">
        <v>17</v>
      </c>
      <c r="L36" s="13">
        <f t="shared" si="1"/>
        <v>3</v>
      </c>
      <c r="M36" s="14">
        <v>1.6666666666666666E-2</v>
      </c>
      <c r="N36" s="13">
        <v>3</v>
      </c>
      <c r="O36" s="13" t="str">
        <f t="shared" si="7"/>
        <v>COINCIDE</v>
      </c>
      <c r="P36" s="13" t="s">
        <v>52</v>
      </c>
      <c r="Q36" s="13" t="s">
        <v>22</v>
      </c>
      <c r="R36" s="13" t="s">
        <v>23</v>
      </c>
      <c r="S36" s="6"/>
      <c r="T36" s="6"/>
      <c r="U36" s="6"/>
      <c r="V36" s="6"/>
      <c r="W36" s="6"/>
      <c r="X36" s="6"/>
      <c r="Y36" s="6"/>
    </row>
    <row r="37" spans="1:25" ht="15.75" customHeight="1">
      <c r="A37" s="11" t="s">
        <v>18</v>
      </c>
      <c r="B37" s="11">
        <v>700037700</v>
      </c>
      <c r="C37" s="11">
        <v>7000007</v>
      </c>
      <c r="D37" s="11">
        <v>5419</v>
      </c>
      <c r="E37" s="11">
        <v>-68.474558900000005</v>
      </c>
      <c r="F37" s="11">
        <v>-31.444130099999999</v>
      </c>
      <c r="G37" s="11" t="s">
        <v>56</v>
      </c>
      <c r="H37" s="11" t="s">
        <v>20</v>
      </c>
      <c r="I37" s="11">
        <v>11.4</v>
      </c>
      <c r="J37" s="11">
        <f t="shared" si="0"/>
        <v>3</v>
      </c>
      <c r="K37" s="11">
        <v>16</v>
      </c>
      <c r="L37" s="11">
        <f t="shared" si="1"/>
        <v>3</v>
      </c>
      <c r="M37" s="12">
        <v>1.4583333333333332E-2</v>
      </c>
      <c r="N37" s="11">
        <v>4</v>
      </c>
      <c r="O37" s="11" t="str">
        <f>IF(AVERAGE(J37,L37)=N37,"COINCIDE",IF(L37=N37,"INCONGRUENTE",IF(N37=7,"COINCIDE","DISTINTO")))</f>
        <v>DISTINTO</v>
      </c>
      <c r="P37" s="11" t="s">
        <v>52</v>
      </c>
      <c r="Q37" s="11" t="s">
        <v>22</v>
      </c>
      <c r="R37" s="11" t="s">
        <v>23</v>
      </c>
      <c r="S37" s="6"/>
      <c r="T37" s="6"/>
      <c r="U37" s="6"/>
      <c r="V37" s="6"/>
      <c r="W37" s="6"/>
      <c r="X37" s="6"/>
      <c r="Y37" s="6"/>
    </row>
    <row r="38" spans="1:25" ht="15.75" customHeight="1">
      <c r="A38" s="13" t="s">
        <v>18</v>
      </c>
      <c r="B38" s="13">
        <v>700032900</v>
      </c>
      <c r="C38" s="13">
        <v>7000009</v>
      </c>
      <c r="D38" s="13">
        <v>5419</v>
      </c>
      <c r="E38" s="13">
        <v>-68.492697399999997</v>
      </c>
      <c r="F38" s="13">
        <v>-31.414792599999998</v>
      </c>
      <c r="G38" s="13" t="s">
        <v>57</v>
      </c>
      <c r="H38" s="13" t="s">
        <v>20</v>
      </c>
      <c r="I38" s="13">
        <v>14</v>
      </c>
      <c r="J38" s="13">
        <f t="shared" si="0"/>
        <v>3</v>
      </c>
      <c r="K38" s="13">
        <v>17</v>
      </c>
      <c r="L38" s="13">
        <f t="shared" si="1"/>
        <v>3</v>
      </c>
      <c r="M38" s="14">
        <v>1.6666666666666666E-2</v>
      </c>
      <c r="N38" s="13">
        <v>3</v>
      </c>
      <c r="O38" s="13" t="str">
        <f t="shared" ref="O38:O39" si="8">IF(AVERAGE(J38,L38)=N38,"COINCIDE",IF(L38=N38,"INCONGRUENTE","DISTINTO"))</f>
        <v>COINCIDE</v>
      </c>
      <c r="P38" s="13" t="s">
        <v>52</v>
      </c>
      <c r="Q38" s="13" t="s">
        <v>22</v>
      </c>
      <c r="R38" s="13" t="s">
        <v>23</v>
      </c>
      <c r="S38" s="6"/>
      <c r="T38" s="6"/>
      <c r="U38" s="6"/>
      <c r="V38" s="6"/>
      <c r="W38" s="6"/>
      <c r="X38" s="6"/>
      <c r="Y38" s="6"/>
    </row>
    <row r="39" spans="1:25" ht="15.75" customHeight="1">
      <c r="A39" s="7" t="s">
        <v>18</v>
      </c>
      <c r="B39" s="7">
        <v>700038200</v>
      </c>
      <c r="C39" s="7">
        <v>7000010</v>
      </c>
      <c r="D39" s="7">
        <v>5419</v>
      </c>
      <c r="E39" s="7">
        <v>-68.4753671</v>
      </c>
      <c r="F39" s="7">
        <v>-31.378164600000002</v>
      </c>
      <c r="G39" s="7" t="s">
        <v>58</v>
      </c>
      <c r="H39" s="7" t="s">
        <v>20</v>
      </c>
      <c r="I39" s="7">
        <v>18.3</v>
      </c>
      <c r="J39" s="7">
        <f t="shared" si="0"/>
        <v>3</v>
      </c>
      <c r="K39" s="7">
        <v>22</v>
      </c>
      <c r="L39" s="7">
        <f t="shared" si="1"/>
        <v>4</v>
      </c>
      <c r="M39" s="9">
        <v>2.013888888888889E-2</v>
      </c>
      <c r="N39" s="7">
        <v>4</v>
      </c>
      <c r="O39" s="7" t="str">
        <f t="shared" si="8"/>
        <v>INCONGRUENTE</v>
      </c>
      <c r="P39" s="7" t="s">
        <v>52</v>
      </c>
      <c r="Q39" s="7" t="s">
        <v>22</v>
      </c>
      <c r="R39" s="7" t="s">
        <v>23</v>
      </c>
      <c r="S39" s="6"/>
      <c r="T39" s="6"/>
      <c r="U39" s="6"/>
      <c r="V39" s="6"/>
      <c r="W39" s="6"/>
      <c r="X39" s="6"/>
      <c r="Y39" s="6"/>
    </row>
    <row r="40" spans="1:25" ht="15.75" customHeight="1">
      <c r="A40" s="11" t="s">
        <v>18</v>
      </c>
      <c r="B40" s="11">
        <v>700005700</v>
      </c>
      <c r="C40" s="11">
        <v>7000011</v>
      </c>
      <c r="D40" s="11">
        <v>5419</v>
      </c>
      <c r="E40" s="11">
        <v>-68.564952300000002</v>
      </c>
      <c r="F40" s="11">
        <v>-31.457353000000001</v>
      </c>
      <c r="G40" s="11" t="s">
        <v>59</v>
      </c>
      <c r="H40" s="11" t="s">
        <v>20</v>
      </c>
      <c r="I40" s="11">
        <v>9.65</v>
      </c>
      <c r="J40" s="11">
        <f t="shared" si="0"/>
        <v>2</v>
      </c>
      <c r="K40" s="11">
        <v>10</v>
      </c>
      <c r="L40" s="11">
        <f t="shared" si="1"/>
        <v>2</v>
      </c>
      <c r="M40" s="12">
        <v>1.3194444444444444E-2</v>
      </c>
      <c r="N40" s="11">
        <v>4</v>
      </c>
      <c r="O40" s="11" t="str">
        <f>IF(AVERAGE(J40,L40)=N40,"COINCIDE",IF(L40=N40,"INCONGRUENTE",IF(N40=7,"COINCIDE","DISTINTO")))</f>
        <v>DISTINTO</v>
      </c>
      <c r="P40" s="11" t="s">
        <v>52</v>
      </c>
      <c r="Q40" s="11" t="s">
        <v>22</v>
      </c>
      <c r="R40" s="11" t="s">
        <v>23</v>
      </c>
      <c r="S40" s="6"/>
      <c r="T40" s="6"/>
      <c r="U40" s="6"/>
      <c r="V40" s="6"/>
      <c r="W40" s="6"/>
      <c r="X40" s="6"/>
      <c r="Y40" s="6"/>
    </row>
    <row r="41" spans="1:25" ht="15.75" customHeight="1">
      <c r="A41" s="13" t="s">
        <v>18</v>
      </c>
      <c r="B41" s="13">
        <v>700005800</v>
      </c>
      <c r="C41" s="13">
        <v>7000012</v>
      </c>
      <c r="D41" s="13">
        <v>5419</v>
      </c>
      <c r="E41" s="13">
        <v>-68.543672900000004</v>
      </c>
      <c r="F41" s="13">
        <v>-31.443361500000002</v>
      </c>
      <c r="G41" s="13" t="s">
        <v>60</v>
      </c>
      <c r="H41" s="13" t="s">
        <v>20</v>
      </c>
      <c r="I41" s="13">
        <v>10.6</v>
      </c>
      <c r="J41" s="13">
        <f t="shared" si="0"/>
        <v>3</v>
      </c>
      <c r="K41" s="13">
        <v>15</v>
      </c>
      <c r="L41" s="13">
        <f t="shared" si="1"/>
        <v>3</v>
      </c>
      <c r="M41" s="14">
        <v>1.3888888888888888E-2</v>
      </c>
      <c r="N41" s="13">
        <v>3</v>
      </c>
      <c r="O41" s="13" t="str">
        <f t="shared" ref="O41:O47" si="9">IF(AVERAGE(J41,L41)=N41,"COINCIDE",IF(L41=N41,"INCONGRUENTE","DISTINTO"))</f>
        <v>COINCIDE</v>
      </c>
      <c r="P41" s="13" t="s">
        <v>52</v>
      </c>
      <c r="Q41" s="13" t="s">
        <v>22</v>
      </c>
      <c r="R41" s="13" t="s">
        <v>23</v>
      </c>
      <c r="S41" s="6"/>
      <c r="T41" s="6"/>
      <c r="U41" s="6"/>
      <c r="V41" s="6"/>
      <c r="W41" s="6"/>
      <c r="X41" s="6"/>
      <c r="Y41" s="6"/>
    </row>
    <row r="42" spans="1:25" ht="15.75" customHeight="1">
      <c r="A42" s="13" t="s">
        <v>18</v>
      </c>
      <c r="B42" s="13">
        <v>700038300</v>
      </c>
      <c r="C42" s="13">
        <v>7000013</v>
      </c>
      <c r="D42" s="13">
        <v>5419</v>
      </c>
      <c r="E42" s="13">
        <v>-68.439348800000005</v>
      </c>
      <c r="F42" s="13">
        <v>-31.367915799999999</v>
      </c>
      <c r="G42" s="13" t="s">
        <v>61</v>
      </c>
      <c r="H42" s="13" t="s">
        <v>20</v>
      </c>
      <c r="I42" s="13">
        <v>20.6</v>
      </c>
      <c r="J42" s="13">
        <f t="shared" si="0"/>
        <v>4</v>
      </c>
      <c r="K42" s="13">
        <v>25</v>
      </c>
      <c r="L42" s="13">
        <f t="shared" si="1"/>
        <v>4</v>
      </c>
      <c r="M42" s="14">
        <v>2.2916666666666669E-2</v>
      </c>
      <c r="N42" s="13">
        <v>4</v>
      </c>
      <c r="O42" s="13" t="str">
        <f t="shared" si="9"/>
        <v>COINCIDE</v>
      </c>
      <c r="P42" s="13" t="s">
        <v>52</v>
      </c>
      <c r="Q42" s="13" t="s">
        <v>22</v>
      </c>
      <c r="R42" s="13" t="s">
        <v>23</v>
      </c>
      <c r="S42" s="6"/>
      <c r="T42" s="6"/>
      <c r="U42" s="6"/>
      <c r="V42" s="6"/>
      <c r="W42" s="6"/>
      <c r="X42" s="6"/>
      <c r="Y42" s="6"/>
    </row>
    <row r="43" spans="1:25" ht="15.75" customHeight="1">
      <c r="A43" s="13" t="s">
        <v>40</v>
      </c>
      <c r="B43" s="13">
        <v>700038400</v>
      </c>
      <c r="C43" s="13">
        <v>7000014</v>
      </c>
      <c r="D43" s="13">
        <v>5419</v>
      </c>
      <c r="E43" s="13">
        <v>-68.527032599999998</v>
      </c>
      <c r="F43" s="13">
        <v>-31.434487300000001</v>
      </c>
      <c r="G43" s="13" t="s">
        <v>53</v>
      </c>
      <c r="H43" s="13" t="s">
        <v>20</v>
      </c>
      <c r="I43" s="13">
        <v>11.5</v>
      </c>
      <c r="J43" s="13">
        <f t="shared" si="0"/>
        <v>3</v>
      </c>
      <c r="K43" s="13">
        <v>13</v>
      </c>
      <c r="L43" s="13">
        <f t="shared" si="1"/>
        <v>3</v>
      </c>
      <c r="M43" s="14">
        <v>1.2499999999999999E-2</v>
      </c>
      <c r="N43" s="13">
        <v>3</v>
      </c>
      <c r="O43" s="13" t="str">
        <f t="shared" si="9"/>
        <v>COINCIDE</v>
      </c>
      <c r="P43" s="13" t="s">
        <v>52</v>
      </c>
      <c r="Q43" s="13" t="s">
        <v>22</v>
      </c>
      <c r="R43" s="13" t="s">
        <v>23</v>
      </c>
      <c r="S43" s="6"/>
      <c r="T43" s="6"/>
      <c r="U43" s="6"/>
      <c r="V43" s="6"/>
      <c r="W43" s="6"/>
      <c r="X43" s="6"/>
      <c r="Y43" s="6"/>
    </row>
    <row r="44" spans="1:25" ht="15.75" customHeight="1">
      <c r="A44" s="24" t="s">
        <v>18</v>
      </c>
      <c r="B44" s="24">
        <v>700033000</v>
      </c>
      <c r="C44" s="24">
        <v>7000015</v>
      </c>
      <c r="D44" s="24">
        <v>5419</v>
      </c>
      <c r="E44" s="24">
        <v>-68.510811399999994</v>
      </c>
      <c r="F44" s="24">
        <v>-31.428887100000001</v>
      </c>
      <c r="G44" s="24" t="s">
        <v>53</v>
      </c>
      <c r="H44" s="24" t="s">
        <v>20</v>
      </c>
      <c r="I44" s="24">
        <v>12.2</v>
      </c>
      <c r="J44" s="24">
        <f t="shared" si="0"/>
        <v>3</v>
      </c>
      <c r="K44" s="24">
        <v>15</v>
      </c>
      <c r="L44" s="24">
        <f t="shared" si="1"/>
        <v>3</v>
      </c>
      <c r="M44" s="25">
        <v>1.3888888888888888E-2</v>
      </c>
      <c r="N44" s="24">
        <v>3</v>
      </c>
      <c r="O44" s="24" t="str">
        <f t="shared" si="9"/>
        <v>COINCIDE</v>
      </c>
      <c r="P44" s="24" t="s">
        <v>52</v>
      </c>
      <c r="Q44" s="24" t="s">
        <v>22</v>
      </c>
      <c r="R44" s="24" t="s">
        <v>23</v>
      </c>
      <c r="S44" s="6"/>
      <c r="T44" s="6"/>
      <c r="U44" s="6"/>
      <c r="V44" s="6"/>
      <c r="W44" s="6"/>
      <c r="X44" s="6"/>
      <c r="Y44" s="6"/>
    </row>
    <row r="45" spans="1:25" ht="15.75" customHeight="1">
      <c r="A45" s="13" t="s">
        <v>62</v>
      </c>
      <c r="B45" s="13">
        <v>700033100</v>
      </c>
      <c r="C45" s="13">
        <v>7000016</v>
      </c>
      <c r="D45" s="13">
        <v>5419</v>
      </c>
      <c r="E45" s="13">
        <v>-68.494397199999995</v>
      </c>
      <c r="F45" s="13">
        <v>-31.431668299999998</v>
      </c>
      <c r="G45" s="13" t="s">
        <v>52</v>
      </c>
      <c r="H45" s="13" t="s">
        <v>20</v>
      </c>
      <c r="I45" s="13">
        <v>12.1</v>
      </c>
      <c r="J45" s="13">
        <f t="shared" si="0"/>
        <v>3</v>
      </c>
      <c r="K45" s="13">
        <v>15</v>
      </c>
      <c r="L45" s="13">
        <f t="shared" si="1"/>
        <v>3</v>
      </c>
      <c r="M45" s="14">
        <v>1.4583333333333332E-2</v>
      </c>
      <c r="N45" s="13">
        <v>3</v>
      </c>
      <c r="O45" s="13" t="str">
        <f t="shared" si="9"/>
        <v>COINCIDE</v>
      </c>
      <c r="P45" s="13" t="s">
        <v>52</v>
      </c>
      <c r="Q45" s="13" t="s">
        <v>22</v>
      </c>
      <c r="R45" s="13" t="s">
        <v>23</v>
      </c>
      <c r="S45" s="6"/>
      <c r="T45" s="6"/>
      <c r="U45" s="6"/>
      <c r="V45" s="6"/>
      <c r="W45" s="6"/>
      <c r="X45" s="6"/>
      <c r="Y45" s="6"/>
    </row>
    <row r="46" spans="1:25" ht="15.75" customHeight="1">
      <c r="A46" s="13" t="s">
        <v>18</v>
      </c>
      <c r="B46" s="13">
        <v>700038500</v>
      </c>
      <c r="C46" s="13">
        <v>7000017</v>
      </c>
      <c r="D46" s="13">
        <v>5419</v>
      </c>
      <c r="E46" s="13">
        <v>-68.529059599999997</v>
      </c>
      <c r="F46" s="13">
        <v>-31.4277722</v>
      </c>
      <c r="G46" s="13" t="s">
        <v>63</v>
      </c>
      <c r="H46" s="13" t="s">
        <v>20</v>
      </c>
      <c r="I46" s="13">
        <v>12.2</v>
      </c>
      <c r="J46" s="13">
        <f t="shared" si="0"/>
        <v>3</v>
      </c>
      <c r="K46" s="13">
        <v>14</v>
      </c>
      <c r="L46" s="13">
        <f t="shared" si="1"/>
        <v>3</v>
      </c>
      <c r="M46" s="14">
        <v>1.3888888888888888E-2</v>
      </c>
      <c r="N46" s="13">
        <v>3</v>
      </c>
      <c r="O46" s="13" t="str">
        <f t="shared" si="9"/>
        <v>COINCIDE</v>
      </c>
      <c r="P46" s="13" t="s">
        <v>52</v>
      </c>
      <c r="Q46" s="13" t="s">
        <v>22</v>
      </c>
      <c r="R46" s="13" t="s">
        <v>23</v>
      </c>
      <c r="S46" s="6"/>
      <c r="T46" s="6"/>
      <c r="U46" s="6"/>
      <c r="V46" s="6"/>
      <c r="W46" s="6"/>
      <c r="X46" s="6"/>
      <c r="Y46" s="6"/>
    </row>
    <row r="47" spans="1:25" ht="15.75" customHeight="1">
      <c r="A47" s="13" t="s">
        <v>64</v>
      </c>
      <c r="B47" s="13">
        <v>700002800</v>
      </c>
      <c r="C47" s="13">
        <v>7050028</v>
      </c>
      <c r="D47" s="13">
        <v>5419</v>
      </c>
      <c r="E47" s="13">
        <v>-68.501676900000007</v>
      </c>
      <c r="F47" s="13">
        <v>-31.4280784</v>
      </c>
      <c r="G47" s="13" t="s">
        <v>53</v>
      </c>
      <c r="H47" s="13" t="s">
        <v>20</v>
      </c>
      <c r="I47" s="13">
        <v>12.4</v>
      </c>
      <c r="J47" s="13">
        <f t="shared" si="0"/>
        <v>3</v>
      </c>
      <c r="K47" s="13">
        <v>15</v>
      </c>
      <c r="L47" s="13">
        <f t="shared" si="1"/>
        <v>3</v>
      </c>
      <c r="M47" s="14">
        <v>1.4583333333333332E-2</v>
      </c>
      <c r="N47" s="13">
        <v>3</v>
      </c>
      <c r="O47" s="13" t="str">
        <f t="shared" si="9"/>
        <v>COINCIDE</v>
      </c>
      <c r="P47" s="13" t="s">
        <v>52</v>
      </c>
      <c r="Q47" s="13" t="s">
        <v>22</v>
      </c>
      <c r="R47" s="13" t="s">
        <v>23</v>
      </c>
      <c r="S47" s="6"/>
      <c r="T47" s="6"/>
      <c r="U47" s="6"/>
      <c r="V47" s="6"/>
      <c r="W47" s="6"/>
      <c r="X47" s="6"/>
      <c r="Y47" s="6"/>
    </row>
    <row r="48" spans="1:25" ht="15.75" customHeight="1">
      <c r="A48" s="11" t="s">
        <v>18</v>
      </c>
      <c r="B48" s="11">
        <v>700063100</v>
      </c>
      <c r="C48" s="11">
        <v>7050437</v>
      </c>
      <c r="D48" s="11">
        <v>5419</v>
      </c>
      <c r="E48" s="11">
        <v>-68.485335800000001</v>
      </c>
      <c r="F48" s="11">
        <v>-31.393621799999998</v>
      </c>
      <c r="G48" s="11" t="s">
        <v>57</v>
      </c>
      <c r="H48" s="11" t="s">
        <v>20</v>
      </c>
      <c r="I48" s="11">
        <v>17.100000000000001</v>
      </c>
      <c r="J48" s="11">
        <f t="shared" si="0"/>
        <v>3</v>
      </c>
      <c r="K48" s="11">
        <v>20</v>
      </c>
      <c r="L48" s="11">
        <f t="shared" si="1"/>
        <v>3</v>
      </c>
      <c r="M48" s="12">
        <v>1.8749999999999999E-2</v>
      </c>
      <c r="N48" s="11">
        <v>4</v>
      </c>
      <c r="O48" s="11" t="str">
        <f>IF(AVERAGE(J48,L48)=N48,"COINCIDE",IF(L48=N48,"INCONGRUENTE",IF(N48=7,"COINCIDE","DISTINTO")))</f>
        <v>DISTINTO</v>
      </c>
      <c r="P48" s="11" t="s">
        <v>52</v>
      </c>
      <c r="Q48" s="11" t="s">
        <v>22</v>
      </c>
      <c r="R48" s="11" t="s">
        <v>23</v>
      </c>
      <c r="S48" s="6"/>
      <c r="T48" s="6"/>
      <c r="U48" s="6"/>
      <c r="V48" s="6"/>
      <c r="W48" s="6"/>
      <c r="X48" s="6"/>
      <c r="Y48" s="6"/>
    </row>
    <row r="49" spans="1:25" ht="15.75" customHeight="1">
      <c r="A49" s="13" t="s">
        <v>64</v>
      </c>
      <c r="B49" s="13">
        <v>700084100</v>
      </c>
      <c r="C49" s="13" t="s">
        <v>65</v>
      </c>
      <c r="D49" s="13" t="s">
        <v>66</v>
      </c>
      <c r="E49" s="13">
        <v>-68.539120299999993</v>
      </c>
      <c r="F49" s="13">
        <v>-31.421497200000001</v>
      </c>
      <c r="G49" s="13" t="s">
        <v>51</v>
      </c>
      <c r="H49" s="13" t="s">
        <v>20</v>
      </c>
      <c r="I49" s="13">
        <v>12.9</v>
      </c>
      <c r="J49" s="13">
        <f t="shared" si="0"/>
        <v>3</v>
      </c>
      <c r="K49" s="13">
        <v>16</v>
      </c>
      <c r="L49" s="13">
        <f t="shared" si="1"/>
        <v>3</v>
      </c>
      <c r="M49" s="14">
        <v>1.3888888888888888E-2</v>
      </c>
      <c r="N49" s="13">
        <v>3</v>
      </c>
      <c r="O49" s="13" t="str">
        <f>IF(AVERAGE(J49,L49)=N49,"COINCIDE",IF(L49=N49,"INCONGRUENTE","DISTINTO"))</f>
        <v>COINCIDE</v>
      </c>
      <c r="P49" s="13" t="s">
        <v>52</v>
      </c>
      <c r="Q49" s="13" t="s">
        <v>22</v>
      </c>
      <c r="R49" s="13" t="s">
        <v>23</v>
      </c>
      <c r="S49" s="6"/>
      <c r="T49" s="6"/>
      <c r="U49" s="6"/>
      <c r="V49" s="6"/>
      <c r="W49" s="6"/>
      <c r="X49" s="6"/>
      <c r="Y49" s="6"/>
    </row>
    <row r="50" spans="1:25" ht="15.75" customHeight="1">
      <c r="A50" s="15" t="s">
        <v>62</v>
      </c>
      <c r="B50" s="15" t="s">
        <v>67</v>
      </c>
      <c r="C50" s="15" t="s">
        <v>68</v>
      </c>
      <c r="D50" s="15" t="s">
        <v>66</v>
      </c>
      <c r="E50" s="15">
        <v>-68.361720899999995</v>
      </c>
      <c r="F50" s="15">
        <v>-31.504429200000001</v>
      </c>
      <c r="G50" s="15" t="s">
        <v>51</v>
      </c>
      <c r="H50" s="15" t="s">
        <v>20</v>
      </c>
      <c r="I50" s="15">
        <v>16</v>
      </c>
      <c r="J50" s="15">
        <f t="shared" si="0"/>
        <v>3</v>
      </c>
      <c r="K50" s="15">
        <v>21</v>
      </c>
      <c r="L50" s="15">
        <f t="shared" si="1"/>
        <v>4</v>
      </c>
      <c r="M50" s="16">
        <v>1.9444444444444445E-2</v>
      </c>
      <c r="N50" s="15">
        <v>4</v>
      </c>
      <c r="O50" s="15" t="s">
        <v>69</v>
      </c>
      <c r="P50" s="15" t="s">
        <v>52</v>
      </c>
      <c r="Q50" s="15" t="s">
        <v>22</v>
      </c>
      <c r="R50" s="15" t="s">
        <v>70</v>
      </c>
      <c r="S50" s="6"/>
      <c r="T50" s="6"/>
      <c r="U50" s="6"/>
      <c r="V50" s="6"/>
      <c r="W50" s="6"/>
      <c r="X50" s="6"/>
      <c r="Y50" s="6"/>
    </row>
    <row r="51" spans="1:25" ht="15.75" customHeight="1">
      <c r="A51" s="13" t="s">
        <v>64</v>
      </c>
      <c r="B51" s="13" t="s">
        <v>71</v>
      </c>
      <c r="C51" s="13" t="s">
        <v>72</v>
      </c>
      <c r="D51" s="13" t="s">
        <v>66</v>
      </c>
      <c r="E51" s="13">
        <v>-68.513659700000005</v>
      </c>
      <c r="F51" s="13">
        <v>-31.435547100000001</v>
      </c>
      <c r="G51" s="13" t="s">
        <v>53</v>
      </c>
      <c r="H51" s="13" t="s">
        <v>20</v>
      </c>
      <c r="I51" s="13">
        <v>11.4</v>
      </c>
      <c r="J51" s="13">
        <f t="shared" si="0"/>
        <v>3</v>
      </c>
      <c r="K51" s="13">
        <v>13</v>
      </c>
      <c r="L51" s="13">
        <f t="shared" si="1"/>
        <v>3</v>
      </c>
      <c r="M51" s="14">
        <v>1.3194444444444444E-2</v>
      </c>
      <c r="N51" s="13">
        <v>3</v>
      </c>
      <c r="O51" s="13" t="str">
        <f t="shared" ref="O51:O55" si="10">IF(AVERAGE(J51,L51)=N51,"COINCIDE",IF(L51=N51,"INCONGRUENTE","DISTINTO"))</f>
        <v>COINCIDE</v>
      </c>
      <c r="P51" s="13" t="s">
        <v>52</v>
      </c>
      <c r="Q51" s="13" t="s">
        <v>22</v>
      </c>
      <c r="R51" s="13" t="s">
        <v>23</v>
      </c>
      <c r="S51" s="6"/>
      <c r="T51" s="6"/>
      <c r="U51" s="6"/>
      <c r="V51" s="6"/>
      <c r="W51" s="6"/>
      <c r="X51" s="6"/>
      <c r="Y51" s="6"/>
    </row>
    <row r="52" spans="1:25" ht="15.75" customHeight="1">
      <c r="A52" s="13" t="s">
        <v>42</v>
      </c>
      <c r="B52" s="13" t="s">
        <v>73</v>
      </c>
      <c r="C52" s="13">
        <v>7000003</v>
      </c>
      <c r="D52" s="13">
        <v>5419</v>
      </c>
      <c r="E52" s="13">
        <v>-68.521912299999997</v>
      </c>
      <c r="F52" s="13">
        <v>-31.438265600000001</v>
      </c>
      <c r="G52" s="13" t="s">
        <v>53</v>
      </c>
      <c r="H52" s="13" t="s">
        <v>20</v>
      </c>
      <c r="I52" s="13">
        <v>11.1</v>
      </c>
      <c r="J52" s="13">
        <f t="shared" si="0"/>
        <v>3</v>
      </c>
      <c r="K52" s="13">
        <v>13</v>
      </c>
      <c r="L52" s="13">
        <f t="shared" si="1"/>
        <v>3</v>
      </c>
      <c r="M52" s="14">
        <v>1.1805555555555555E-2</v>
      </c>
      <c r="N52" s="13">
        <v>3</v>
      </c>
      <c r="O52" s="13" t="str">
        <f t="shared" si="10"/>
        <v>COINCIDE</v>
      </c>
      <c r="P52" s="13" t="s">
        <v>52</v>
      </c>
      <c r="Q52" s="13" t="s">
        <v>22</v>
      </c>
      <c r="R52" s="13" t="s">
        <v>54</v>
      </c>
      <c r="S52" s="6"/>
      <c r="T52" s="6"/>
      <c r="U52" s="6"/>
      <c r="V52" s="6"/>
      <c r="W52" s="6"/>
      <c r="X52" s="6"/>
      <c r="Y52" s="6"/>
    </row>
    <row r="53" spans="1:25" ht="15.75" customHeight="1">
      <c r="A53" s="7" t="s">
        <v>18</v>
      </c>
      <c r="B53" s="7">
        <v>700014900</v>
      </c>
      <c r="C53" s="7">
        <v>7000019</v>
      </c>
      <c r="D53" s="7">
        <v>5415</v>
      </c>
      <c r="E53" s="7">
        <v>-68.341571799999997</v>
      </c>
      <c r="F53" s="7">
        <v>-31.456659999999999</v>
      </c>
      <c r="G53" s="7" t="s">
        <v>74</v>
      </c>
      <c r="H53" s="7" t="s">
        <v>20</v>
      </c>
      <c r="I53" s="7">
        <v>19.7</v>
      </c>
      <c r="J53" s="7">
        <f t="shared" si="0"/>
        <v>3</v>
      </c>
      <c r="K53" s="7">
        <v>28</v>
      </c>
      <c r="L53" s="7">
        <f t="shared" si="1"/>
        <v>4</v>
      </c>
      <c r="M53" s="9">
        <v>2.4999999999999998E-2</v>
      </c>
      <c r="N53" s="7">
        <v>4</v>
      </c>
      <c r="O53" s="7" t="str">
        <f t="shared" si="10"/>
        <v>INCONGRUENTE</v>
      </c>
      <c r="P53" s="7" t="s">
        <v>75</v>
      </c>
      <c r="Q53" s="7" t="s">
        <v>22</v>
      </c>
      <c r="R53" s="7" t="s">
        <v>23</v>
      </c>
      <c r="S53" s="6"/>
      <c r="T53" s="6"/>
      <c r="U53" s="6"/>
      <c r="V53" s="6"/>
      <c r="W53" s="6"/>
      <c r="X53" s="6"/>
      <c r="Y53" s="6"/>
    </row>
    <row r="54" spans="1:25" ht="15.75" customHeight="1">
      <c r="A54" s="13" t="s">
        <v>18</v>
      </c>
      <c r="B54" s="13">
        <v>700049000</v>
      </c>
      <c r="C54" s="13">
        <v>7000020</v>
      </c>
      <c r="D54" s="13">
        <v>5415</v>
      </c>
      <c r="E54" s="13">
        <v>-68.282049200000003</v>
      </c>
      <c r="F54" s="13">
        <v>-31.443634200000002</v>
      </c>
      <c r="G54" s="13" t="s">
        <v>76</v>
      </c>
      <c r="H54" s="13" t="s">
        <v>20</v>
      </c>
      <c r="I54" s="13">
        <v>25.4</v>
      </c>
      <c r="J54" s="13">
        <f t="shared" si="0"/>
        <v>4</v>
      </c>
      <c r="K54" s="13">
        <v>37</v>
      </c>
      <c r="L54" s="13">
        <f t="shared" si="1"/>
        <v>4</v>
      </c>
      <c r="M54" s="14">
        <v>2.7777777777777776E-2</v>
      </c>
      <c r="N54" s="13">
        <v>4</v>
      </c>
      <c r="O54" s="13" t="str">
        <f t="shared" si="10"/>
        <v>COINCIDE</v>
      </c>
      <c r="P54" s="13" t="s">
        <v>75</v>
      </c>
      <c r="Q54" s="13" t="s">
        <v>22</v>
      </c>
      <c r="R54" s="13" t="s">
        <v>23</v>
      </c>
      <c r="S54" s="6"/>
      <c r="T54" s="6"/>
      <c r="U54" s="6"/>
      <c r="V54" s="6"/>
      <c r="W54" s="6"/>
      <c r="X54" s="6"/>
      <c r="Y54" s="6"/>
    </row>
    <row r="55" spans="1:25" ht="15.75" customHeight="1">
      <c r="A55" s="7" t="s">
        <v>18</v>
      </c>
      <c r="B55" s="7">
        <v>700049600</v>
      </c>
      <c r="C55" s="7">
        <v>7000021</v>
      </c>
      <c r="D55" s="7">
        <v>5415</v>
      </c>
      <c r="E55" s="7">
        <v>-68.381214099999994</v>
      </c>
      <c r="F55" s="7">
        <v>-31.435555799999999</v>
      </c>
      <c r="G55" s="7" t="s">
        <v>77</v>
      </c>
      <c r="H55" s="7" t="s">
        <v>20</v>
      </c>
      <c r="I55" s="7">
        <v>17.8</v>
      </c>
      <c r="J55" s="7">
        <f t="shared" si="0"/>
        <v>3</v>
      </c>
      <c r="K55" s="7">
        <v>28</v>
      </c>
      <c r="L55" s="7">
        <f t="shared" si="1"/>
        <v>4</v>
      </c>
      <c r="M55" s="9">
        <v>2.2916666666666669E-2</v>
      </c>
      <c r="N55" s="7">
        <v>4</v>
      </c>
      <c r="O55" s="7" t="str">
        <f t="shared" si="10"/>
        <v>INCONGRUENTE</v>
      </c>
      <c r="P55" s="7" t="s">
        <v>75</v>
      </c>
      <c r="Q55" s="7" t="s">
        <v>22</v>
      </c>
      <c r="R55" s="7" t="s">
        <v>23</v>
      </c>
      <c r="S55" s="6"/>
      <c r="T55" s="6"/>
      <c r="U55" s="6"/>
      <c r="V55" s="6"/>
      <c r="W55" s="6"/>
      <c r="X55" s="6"/>
      <c r="Y55" s="6"/>
    </row>
    <row r="56" spans="1:25" ht="15.75" customHeight="1">
      <c r="A56" s="11" t="s">
        <v>18</v>
      </c>
      <c r="B56" s="11">
        <v>700049500</v>
      </c>
      <c r="C56" s="11">
        <v>7000022</v>
      </c>
      <c r="D56" s="11">
        <v>5415</v>
      </c>
      <c r="E56" s="11">
        <v>-68.452085199999999</v>
      </c>
      <c r="F56" s="11">
        <v>-31.442272500000001</v>
      </c>
      <c r="G56" s="11" t="s">
        <v>56</v>
      </c>
      <c r="H56" s="11" t="s">
        <v>20</v>
      </c>
      <c r="I56" s="11">
        <v>12.5</v>
      </c>
      <c r="J56" s="11">
        <f t="shared" si="0"/>
        <v>3</v>
      </c>
      <c r="K56" s="11">
        <v>19</v>
      </c>
      <c r="L56" s="11">
        <f t="shared" si="1"/>
        <v>3</v>
      </c>
      <c r="M56" s="12">
        <v>1.5972222222222224E-2</v>
      </c>
      <c r="N56" s="11">
        <v>4</v>
      </c>
      <c r="O56" s="11" t="str">
        <f>IF(AVERAGE(J56,L56)=N56,"COINCIDE",IF(L56=N56,"INCONGRUENTE",IF(N56=7,"COINCIDE","DISTINTO")))</f>
        <v>DISTINTO</v>
      </c>
      <c r="P56" s="11" t="s">
        <v>75</v>
      </c>
      <c r="Q56" s="11" t="s">
        <v>22</v>
      </c>
      <c r="R56" s="11" t="s">
        <v>23</v>
      </c>
      <c r="S56" s="6"/>
      <c r="T56" s="6"/>
      <c r="U56" s="6"/>
      <c r="V56" s="6"/>
      <c r="W56" s="6"/>
      <c r="X56" s="6"/>
      <c r="Y56" s="6"/>
    </row>
    <row r="57" spans="1:25" ht="15.75" customHeight="1">
      <c r="A57" s="7" t="s">
        <v>18</v>
      </c>
      <c r="B57" s="7">
        <v>700014800</v>
      </c>
      <c r="C57" s="7">
        <v>7000024</v>
      </c>
      <c r="D57" s="7">
        <v>5415</v>
      </c>
      <c r="E57" s="7">
        <v>-68.3830715</v>
      </c>
      <c r="F57" s="7">
        <v>-31.407086100000001</v>
      </c>
      <c r="G57" s="7" t="s">
        <v>59</v>
      </c>
      <c r="H57" s="7" t="s">
        <v>20</v>
      </c>
      <c r="I57" s="7">
        <v>19.8</v>
      </c>
      <c r="J57" s="7">
        <f t="shared" si="0"/>
        <v>3</v>
      </c>
      <c r="K57" s="7">
        <v>28</v>
      </c>
      <c r="L57" s="7">
        <f t="shared" si="1"/>
        <v>4</v>
      </c>
      <c r="M57" s="9">
        <v>2.361111111111111E-2</v>
      </c>
      <c r="N57" s="7">
        <v>4</v>
      </c>
      <c r="O57" s="7" t="str">
        <f t="shared" ref="O57:O59" si="11">IF(AVERAGE(J57,L57)=N57,"COINCIDE",IF(L57=N57,"INCONGRUENTE","DISTINTO"))</f>
        <v>INCONGRUENTE</v>
      </c>
      <c r="P57" s="7" t="s">
        <v>75</v>
      </c>
      <c r="Q57" s="7" t="s">
        <v>22</v>
      </c>
      <c r="R57" s="7" t="s">
        <v>23</v>
      </c>
      <c r="S57" s="6"/>
      <c r="T57" s="6"/>
      <c r="U57" s="6"/>
      <c r="V57" s="6"/>
      <c r="W57" s="6"/>
      <c r="X57" s="6"/>
      <c r="Y57" s="6"/>
    </row>
    <row r="58" spans="1:25" ht="15.75" customHeight="1">
      <c r="A58" s="13" t="s">
        <v>18</v>
      </c>
      <c r="B58" s="13">
        <v>700048900</v>
      </c>
      <c r="C58" s="13">
        <v>7000026</v>
      </c>
      <c r="D58" s="13">
        <v>5415</v>
      </c>
      <c r="E58" s="13">
        <v>-68.299232700000005</v>
      </c>
      <c r="F58" s="13">
        <v>-31.408504300000001</v>
      </c>
      <c r="G58" s="13" t="s">
        <v>76</v>
      </c>
      <c r="H58" s="13" t="s">
        <v>20</v>
      </c>
      <c r="I58" s="13">
        <v>25.3</v>
      </c>
      <c r="J58" s="13">
        <f t="shared" si="0"/>
        <v>4</v>
      </c>
      <c r="K58" s="13">
        <v>38</v>
      </c>
      <c r="L58" s="13">
        <f t="shared" si="1"/>
        <v>4</v>
      </c>
      <c r="M58" s="14">
        <v>2.9861111111111113E-2</v>
      </c>
      <c r="N58" s="13">
        <v>4</v>
      </c>
      <c r="O58" s="13" t="str">
        <f t="shared" si="11"/>
        <v>COINCIDE</v>
      </c>
      <c r="P58" s="13" t="s">
        <v>75</v>
      </c>
      <c r="Q58" s="13" t="s">
        <v>22</v>
      </c>
      <c r="R58" s="13" t="s">
        <v>23</v>
      </c>
      <c r="S58" s="6"/>
      <c r="T58" s="6"/>
      <c r="U58" s="6"/>
      <c r="V58" s="6"/>
      <c r="W58" s="6"/>
      <c r="X58" s="6"/>
      <c r="Y58" s="6"/>
    </row>
    <row r="59" spans="1:25" ht="15.75" customHeight="1">
      <c r="A59" s="13" t="s">
        <v>18</v>
      </c>
      <c r="B59" s="13">
        <v>700014600</v>
      </c>
      <c r="C59" s="13">
        <v>7000027</v>
      </c>
      <c r="D59" s="13">
        <v>5415</v>
      </c>
      <c r="E59" s="13">
        <v>-68.395752400000006</v>
      </c>
      <c r="F59" s="13">
        <v>-31.392907999999998</v>
      </c>
      <c r="G59" s="13" t="s">
        <v>78</v>
      </c>
      <c r="H59" s="13" t="s">
        <v>20</v>
      </c>
      <c r="I59" s="13">
        <v>20.100000000000001</v>
      </c>
      <c r="J59" s="13">
        <f t="shared" si="0"/>
        <v>4</v>
      </c>
      <c r="K59" s="13">
        <v>28</v>
      </c>
      <c r="L59" s="13">
        <f t="shared" si="1"/>
        <v>4</v>
      </c>
      <c r="M59" s="14">
        <v>2.361111111111111E-2</v>
      </c>
      <c r="N59" s="13">
        <v>4</v>
      </c>
      <c r="O59" s="13" t="str">
        <f t="shared" si="11"/>
        <v>COINCIDE</v>
      </c>
      <c r="P59" s="13" t="s">
        <v>75</v>
      </c>
      <c r="Q59" s="13" t="s">
        <v>22</v>
      </c>
      <c r="R59" s="13" t="s">
        <v>23</v>
      </c>
      <c r="S59" s="6"/>
      <c r="T59" s="6"/>
      <c r="U59" s="6"/>
      <c r="V59" s="6"/>
      <c r="W59" s="6"/>
      <c r="X59" s="6"/>
      <c r="Y59" s="6"/>
    </row>
    <row r="60" spans="1:25" ht="15.75" customHeight="1">
      <c r="A60" s="11" t="s">
        <v>18</v>
      </c>
      <c r="B60" s="11">
        <v>700049200</v>
      </c>
      <c r="C60" s="11">
        <v>7000029</v>
      </c>
      <c r="D60" s="11">
        <v>5415</v>
      </c>
      <c r="E60" s="11">
        <v>-68.403237200000007</v>
      </c>
      <c r="F60" s="11">
        <v>-31.454418700000002</v>
      </c>
      <c r="G60" s="11" t="s">
        <v>79</v>
      </c>
      <c r="H60" s="11" t="s">
        <v>20</v>
      </c>
      <c r="I60" s="11">
        <v>14.7</v>
      </c>
      <c r="J60" s="11">
        <f t="shared" si="0"/>
        <v>3</v>
      </c>
      <c r="K60" s="11">
        <v>20</v>
      </c>
      <c r="L60" s="11">
        <f t="shared" si="1"/>
        <v>3</v>
      </c>
      <c r="M60" s="12">
        <v>2.0833333333333332E-2</v>
      </c>
      <c r="N60" s="11">
        <v>4</v>
      </c>
      <c r="O60" s="11" t="str">
        <f t="shared" ref="O60:O64" si="12">IF(AVERAGE(J60,L60)=N60,"COINCIDE",IF(L60=N60,"INCONGRUENTE",IF(N60=7,"COINCIDE","DISTINTO")))</f>
        <v>DISTINTO</v>
      </c>
      <c r="P60" s="11" t="s">
        <v>75</v>
      </c>
      <c r="Q60" s="11" t="s">
        <v>22</v>
      </c>
      <c r="R60" s="11" t="s">
        <v>23</v>
      </c>
      <c r="S60" s="6"/>
      <c r="T60" s="6"/>
      <c r="U60" s="6"/>
      <c r="V60" s="6"/>
      <c r="W60" s="6"/>
      <c r="X60" s="6"/>
      <c r="Y60" s="6"/>
    </row>
    <row r="61" spans="1:25" ht="15.75" customHeight="1">
      <c r="A61" s="11" t="s">
        <v>80</v>
      </c>
      <c r="B61" s="11">
        <v>700070200</v>
      </c>
      <c r="C61" s="11">
        <v>7100106</v>
      </c>
      <c r="D61" s="11">
        <v>5415</v>
      </c>
      <c r="E61" s="11">
        <v>-68.403533300000007</v>
      </c>
      <c r="F61" s="11">
        <v>-31.451145700000001</v>
      </c>
      <c r="G61" s="11" t="s">
        <v>81</v>
      </c>
      <c r="H61" s="11" t="s">
        <v>20</v>
      </c>
      <c r="I61" s="11">
        <v>14.9</v>
      </c>
      <c r="J61" s="11">
        <f t="shared" si="0"/>
        <v>3</v>
      </c>
      <c r="K61" s="11">
        <v>20</v>
      </c>
      <c r="L61" s="11">
        <f t="shared" si="1"/>
        <v>3</v>
      </c>
      <c r="M61" s="12">
        <v>2.0833333333333332E-2</v>
      </c>
      <c r="N61" s="11">
        <v>2</v>
      </c>
      <c r="O61" s="11" t="str">
        <f t="shared" si="12"/>
        <v>DISTINTO</v>
      </c>
      <c r="P61" s="11" t="s">
        <v>75</v>
      </c>
      <c r="Q61" s="11" t="s">
        <v>22</v>
      </c>
      <c r="R61" s="11" t="s">
        <v>82</v>
      </c>
      <c r="S61" s="6"/>
      <c r="T61" s="6"/>
      <c r="U61" s="6"/>
      <c r="V61" s="6"/>
      <c r="W61" s="6"/>
      <c r="X61" s="6"/>
      <c r="Y61" s="6"/>
    </row>
    <row r="62" spans="1:25" ht="15.75" customHeight="1">
      <c r="A62" s="11" t="s">
        <v>40</v>
      </c>
      <c r="B62" s="11">
        <v>700081600</v>
      </c>
      <c r="C62" s="11">
        <v>7100111</v>
      </c>
      <c r="D62" s="11">
        <v>5415</v>
      </c>
      <c r="E62" s="11">
        <v>-68.405568000000002</v>
      </c>
      <c r="F62" s="11">
        <v>-31.448169499999999</v>
      </c>
      <c r="G62" s="11" t="s">
        <v>79</v>
      </c>
      <c r="H62" s="11" t="s">
        <v>20</v>
      </c>
      <c r="I62" s="11">
        <v>14.9</v>
      </c>
      <c r="J62" s="11">
        <f t="shared" si="0"/>
        <v>3</v>
      </c>
      <c r="K62" s="11">
        <v>20</v>
      </c>
      <c r="L62" s="11">
        <f t="shared" si="1"/>
        <v>3</v>
      </c>
      <c r="M62" s="12">
        <v>2.013888888888889E-2</v>
      </c>
      <c r="N62" s="11">
        <v>4</v>
      </c>
      <c r="O62" s="11" t="str">
        <f t="shared" si="12"/>
        <v>DISTINTO</v>
      </c>
      <c r="P62" s="11" t="s">
        <v>75</v>
      </c>
      <c r="Q62" s="11" t="s">
        <v>22</v>
      </c>
      <c r="R62" s="11" t="s">
        <v>83</v>
      </c>
      <c r="S62" s="6"/>
      <c r="T62" s="6"/>
      <c r="U62" s="6"/>
      <c r="V62" s="6"/>
      <c r="W62" s="6"/>
      <c r="X62" s="6"/>
      <c r="Y62" s="6"/>
    </row>
    <row r="63" spans="1:25" ht="15.75" customHeight="1">
      <c r="A63" s="11" t="s">
        <v>42</v>
      </c>
      <c r="B63" s="11">
        <v>700087700</v>
      </c>
      <c r="C63" s="11" t="s">
        <v>84</v>
      </c>
      <c r="D63" s="11">
        <v>5415</v>
      </c>
      <c r="E63" s="11">
        <v>-68.403806500000002</v>
      </c>
      <c r="F63" s="11">
        <v>-31.451756700000001</v>
      </c>
      <c r="G63" s="11" t="s">
        <v>85</v>
      </c>
      <c r="H63" s="11" t="s">
        <v>20</v>
      </c>
      <c r="I63" s="11">
        <v>14.8</v>
      </c>
      <c r="J63" s="11">
        <f t="shared" si="0"/>
        <v>3</v>
      </c>
      <c r="K63" s="11">
        <v>20</v>
      </c>
      <c r="L63" s="11">
        <f t="shared" si="1"/>
        <v>3</v>
      </c>
      <c r="M63" s="12">
        <v>2.0833333333333332E-2</v>
      </c>
      <c r="N63" s="11">
        <v>4</v>
      </c>
      <c r="O63" s="11" t="str">
        <f t="shared" si="12"/>
        <v>DISTINTO</v>
      </c>
      <c r="P63" s="11" t="s">
        <v>75</v>
      </c>
      <c r="Q63" s="11" t="s">
        <v>22</v>
      </c>
      <c r="R63" s="11" t="s">
        <v>23</v>
      </c>
      <c r="S63" s="6"/>
      <c r="T63" s="6"/>
      <c r="U63" s="6"/>
      <c r="V63" s="6"/>
      <c r="W63" s="6"/>
      <c r="X63" s="6"/>
      <c r="Y63" s="6"/>
    </row>
    <row r="64" spans="1:25" ht="15.75" customHeight="1">
      <c r="A64" s="11" t="s">
        <v>64</v>
      </c>
      <c r="B64" s="11">
        <v>700049400</v>
      </c>
      <c r="C64" s="11" t="s">
        <v>86</v>
      </c>
      <c r="D64" s="11">
        <v>5415</v>
      </c>
      <c r="E64" s="11">
        <v>-68.409194499999998</v>
      </c>
      <c r="F64" s="11">
        <v>-31.456932999999999</v>
      </c>
      <c r="G64" s="11" t="s">
        <v>79</v>
      </c>
      <c r="H64" s="11" t="s">
        <v>20</v>
      </c>
      <c r="I64" s="11">
        <v>14.1</v>
      </c>
      <c r="J64" s="11">
        <f t="shared" si="0"/>
        <v>3</v>
      </c>
      <c r="K64" s="11">
        <v>19</v>
      </c>
      <c r="L64" s="11">
        <f t="shared" si="1"/>
        <v>3</v>
      </c>
      <c r="M64" s="12">
        <v>1.9444444444444445E-2</v>
      </c>
      <c r="N64" s="11">
        <v>4</v>
      </c>
      <c r="O64" s="11" t="str">
        <f t="shared" si="12"/>
        <v>DISTINTO</v>
      </c>
      <c r="P64" s="11" t="s">
        <v>75</v>
      </c>
      <c r="Q64" s="11" t="s">
        <v>22</v>
      </c>
      <c r="R64" s="11" t="s">
        <v>23</v>
      </c>
      <c r="S64" s="6"/>
      <c r="T64" s="6"/>
      <c r="U64" s="6"/>
      <c r="V64" s="6"/>
      <c r="W64" s="6"/>
      <c r="X64" s="6"/>
      <c r="Y64" s="6"/>
    </row>
    <row r="65" spans="1:25" ht="15" customHeight="1">
      <c r="A65" s="7" t="s">
        <v>18</v>
      </c>
      <c r="B65" s="7">
        <v>700014700</v>
      </c>
      <c r="C65" s="7" t="s">
        <v>87</v>
      </c>
      <c r="D65" s="7">
        <v>5415</v>
      </c>
      <c r="E65" s="7">
        <v>-68.414612300000002</v>
      </c>
      <c r="F65" s="7">
        <v>-31.4060825</v>
      </c>
      <c r="G65" s="7" t="s">
        <v>59</v>
      </c>
      <c r="H65" s="7" t="s">
        <v>20</v>
      </c>
      <c r="I65" s="7">
        <v>18.100000000000001</v>
      </c>
      <c r="J65" s="7">
        <f t="shared" si="0"/>
        <v>3</v>
      </c>
      <c r="K65" s="7">
        <v>25</v>
      </c>
      <c r="L65" s="7">
        <f t="shared" si="1"/>
        <v>4</v>
      </c>
      <c r="M65" s="9">
        <v>2.1527777777777781E-2</v>
      </c>
      <c r="N65" s="7">
        <v>4</v>
      </c>
      <c r="O65" s="7" t="str">
        <f t="shared" ref="O65:O81" si="13">IF(AVERAGE(J65,L65)=N65,"COINCIDE",IF(L65=N65,"INCONGRUENTE","DISTINTO"))</f>
        <v>INCONGRUENTE</v>
      </c>
      <c r="P65" s="7" t="s">
        <v>75</v>
      </c>
      <c r="Q65" s="7" t="s">
        <v>22</v>
      </c>
      <c r="R65" s="7" t="s">
        <v>23</v>
      </c>
      <c r="S65" s="6"/>
      <c r="T65" s="6"/>
      <c r="U65" s="6"/>
      <c r="V65" s="6"/>
      <c r="W65" s="6"/>
      <c r="X65" s="6"/>
      <c r="Y65" s="6"/>
    </row>
    <row r="66" spans="1:25" ht="15.75" customHeight="1">
      <c r="A66" s="13" t="s">
        <v>18</v>
      </c>
      <c r="B66" s="13">
        <v>700015000</v>
      </c>
      <c r="C66" s="13" t="s">
        <v>88</v>
      </c>
      <c r="D66" s="13">
        <v>5415</v>
      </c>
      <c r="E66" s="13">
        <v>-68.339674099999996</v>
      </c>
      <c r="F66" s="13">
        <v>-31.4070049</v>
      </c>
      <c r="G66" s="13" t="s">
        <v>59</v>
      </c>
      <c r="H66" s="13" t="s">
        <v>20</v>
      </c>
      <c r="I66" s="13">
        <v>22.7</v>
      </c>
      <c r="J66" s="13">
        <f t="shared" si="0"/>
        <v>4</v>
      </c>
      <c r="K66" s="13">
        <v>33</v>
      </c>
      <c r="L66" s="13">
        <f t="shared" si="1"/>
        <v>4</v>
      </c>
      <c r="M66" s="14">
        <v>2.6388888888888889E-2</v>
      </c>
      <c r="N66" s="13">
        <v>4</v>
      </c>
      <c r="O66" s="13" t="str">
        <f t="shared" si="13"/>
        <v>COINCIDE</v>
      </c>
      <c r="P66" s="13" t="s">
        <v>75</v>
      </c>
      <c r="Q66" s="13" t="s">
        <v>22</v>
      </c>
      <c r="R66" s="13" t="s">
        <v>23</v>
      </c>
      <c r="S66" s="6"/>
      <c r="T66" s="6"/>
      <c r="U66" s="6"/>
      <c r="V66" s="6"/>
      <c r="W66" s="6"/>
      <c r="X66" s="6"/>
      <c r="Y66" s="6"/>
    </row>
    <row r="67" spans="1:25" ht="15.75" customHeight="1">
      <c r="A67" s="7" t="s">
        <v>18</v>
      </c>
      <c r="B67" s="7">
        <v>700015200</v>
      </c>
      <c r="C67" s="7" t="s">
        <v>89</v>
      </c>
      <c r="D67" s="7">
        <v>5415</v>
      </c>
      <c r="E67" s="7">
        <v>-68.426395600000006</v>
      </c>
      <c r="F67" s="7">
        <v>-31.444915099999999</v>
      </c>
      <c r="G67" s="7" t="s">
        <v>77</v>
      </c>
      <c r="H67" s="7" t="s">
        <v>20</v>
      </c>
      <c r="I67" s="7">
        <v>13.9</v>
      </c>
      <c r="J67" s="7">
        <f t="shared" si="0"/>
        <v>3</v>
      </c>
      <c r="K67" s="7">
        <v>21</v>
      </c>
      <c r="L67" s="7">
        <f t="shared" si="1"/>
        <v>4</v>
      </c>
      <c r="M67" s="9">
        <v>1.8055555555555557E-2</v>
      </c>
      <c r="N67" s="7">
        <v>4</v>
      </c>
      <c r="O67" s="7" t="str">
        <f t="shared" si="13"/>
        <v>INCONGRUENTE</v>
      </c>
      <c r="P67" s="7" t="s">
        <v>75</v>
      </c>
      <c r="Q67" s="7" t="s">
        <v>22</v>
      </c>
      <c r="R67" s="7" t="s">
        <v>23</v>
      </c>
      <c r="S67" s="6"/>
      <c r="T67" s="6"/>
      <c r="U67" s="6"/>
      <c r="V67" s="6"/>
      <c r="W67" s="6"/>
      <c r="X67" s="6"/>
      <c r="Y67" s="6"/>
    </row>
    <row r="68" spans="1:25" ht="15.75" customHeight="1">
      <c r="A68" s="13" t="s">
        <v>18</v>
      </c>
      <c r="B68" s="13">
        <v>700032000</v>
      </c>
      <c r="C68" s="13">
        <v>7000031</v>
      </c>
      <c r="D68" s="13">
        <v>5403</v>
      </c>
      <c r="E68" s="13">
        <v>-69.424223600000005</v>
      </c>
      <c r="F68" s="13">
        <v>-31.334242199999998</v>
      </c>
      <c r="G68" s="13" t="s">
        <v>90</v>
      </c>
      <c r="H68" s="13" t="s">
        <v>20</v>
      </c>
      <c r="I68" s="13">
        <v>88.3</v>
      </c>
      <c r="J68" s="13">
        <f t="shared" si="0"/>
        <v>6</v>
      </c>
      <c r="K68" s="13">
        <v>173</v>
      </c>
      <c r="L68" s="13">
        <f t="shared" si="1"/>
        <v>6</v>
      </c>
      <c r="M68" s="14">
        <v>0.10069444444444443</v>
      </c>
      <c r="N68" s="13">
        <v>6</v>
      </c>
      <c r="O68" s="13" t="str">
        <f t="shared" si="13"/>
        <v>COINCIDE</v>
      </c>
      <c r="P68" s="13" t="s">
        <v>90</v>
      </c>
      <c r="Q68" s="13" t="s">
        <v>22</v>
      </c>
      <c r="R68" s="13" t="s">
        <v>23</v>
      </c>
      <c r="S68" s="6"/>
      <c r="T68" s="6"/>
      <c r="U68" s="6"/>
      <c r="V68" s="6"/>
      <c r="W68" s="6"/>
      <c r="X68" s="6"/>
      <c r="Y68" s="6"/>
    </row>
    <row r="69" spans="1:25" ht="15.75" customHeight="1">
      <c r="A69" s="13" t="s">
        <v>18</v>
      </c>
      <c r="B69" s="13">
        <v>700031700</v>
      </c>
      <c r="C69" s="13">
        <v>7000032</v>
      </c>
      <c r="D69" s="13">
        <v>5403</v>
      </c>
      <c r="E69" s="13">
        <v>-69.412804300000005</v>
      </c>
      <c r="F69" s="13">
        <v>-31.302767599999999</v>
      </c>
      <c r="G69" s="13" t="s">
        <v>91</v>
      </c>
      <c r="H69" s="13" t="s">
        <v>20</v>
      </c>
      <c r="I69" s="13">
        <v>88.3</v>
      </c>
      <c r="J69" s="13">
        <f t="shared" si="0"/>
        <v>6</v>
      </c>
      <c r="K69" s="13">
        <v>169</v>
      </c>
      <c r="L69" s="13">
        <f t="shared" si="1"/>
        <v>6</v>
      </c>
      <c r="M69" s="14">
        <v>9.5833333333333326E-2</v>
      </c>
      <c r="N69" s="13">
        <v>6</v>
      </c>
      <c r="O69" s="13" t="str">
        <f t="shared" si="13"/>
        <v>COINCIDE</v>
      </c>
      <c r="P69" s="13" t="s">
        <v>90</v>
      </c>
      <c r="Q69" s="13" t="s">
        <v>22</v>
      </c>
      <c r="R69" s="13" t="s">
        <v>23</v>
      </c>
      <c r="S69" s="6"/>
      <c r="T69" s="6"/>
      <c r="U69" s="6"/>
      <c r="V69" s="6"/>
      <c r="W69" s="6"/>
      <c r="X69" s="6"/>
      <c r="Y69" s="6"/>
    </row>
    <row r="70" spans="1:25" ht="15" customHeight="1">
      <c r="A70" s="13" t="s">
        <v>18</v>
      </c>
      <c r="B70" s="13">
        <v>700031900</v>
      </c>
      <c r="C70" s="13">
        <v>7000033</v>
      </c>
      <c r="D70" s="13">
        <v>5403</v>
      </c>
      <c r="E70" s="13">
        <v>-69.446058300000004</v>
      </c>
      <c r="F70" s="13">
        <v>-31.3573047</v>
      </c>
      <c r="G70" s="13" t="s">
        <v>92</v>
      </c>
      <c r="H70" s="13" t="s">
        <v>20</v>
      </c>
      <c r="I70" s="13">
        <v>89.7</v>
      </c>
      <c r="J70" s="13">
        <f t="shared" si="0"/>
        <v>6</v>
      </c>
      <c r="K70" s="13">
        <v>177</v>
      </c>
      <c r="L70" s="13">
        <f t="shared" si="1"/>
        <v>6</v>
      </c>
      <c r="M70" s="14">
        <v>0.10347222222222223</v>
      </c>
      <c r="N70" s="13">
        <v>6</v>
      </c>
      <c r="O70" s="13" t="str">
        <f t="shared" si="13"/>
        <v>COINCIDE</v>
      </c>
      <c r="P70" s="13" t="s">
        <v>90</v>
      </c>
      <c r="Q70" s="13" t="s">
        <v>22</v>
      </c>
      <c r="R70" s="13" t="s">
        <v>23</v>
      </c>
      <c r="S70" s="6"/>
      <c r="T70" s="6"/>
      <c r="U70" s="6"/>
      <c r="V70" s="6"/>
      <c r="W70" s="6"/>
      <c r="X70" s="6"/>
      <c r="Y70" s="6"/>
    </row>
    <row r="71" spans="1:25" ht="15.75" customHeight="1">
      <c r="A71" s="13" t="s">
        <v>18</v>
      </c>
      <c r="B71" s="13">
        <v>700022500</v>
      </c>
      <c r="C71" s="13">
        <v>7000034</v>
      </c>
      <c r="D71" s="13">
        <v>5403</v>
      </c>
      <c r="E71" s="13">
        <v>-69.482477200000005</v>
      </c>
      <c r="F71" s="13">
        <v>-31.6648931</v>
      </c>
      <c r="G71" s="13" t="s">
        <v>93</v>
      </c>
      <c r="H71" s="13" t="s">
        <v>20</v>
      </c>
      <c r="I71" s="13" t="s">
        <v>94</v>
      </c>
      <c r="J71" s="13">
        <f t="shared" si="0"/>
        <v>6</v>
      </c>
      <c r="K71" s="13">
        <v>212</v>
      </c>
      <c r="L71" s="13">
        <f t="shared" si="1"/>
        <v>6</v>
      </c>
      <c r="M71" s="14">
        <v>0.12222222222222223</v>
      </c>
      <c r="N71" s="13">
        <v>6</v>
      </c>
      <c r="O71" s="13" t="str">
        <f t="shared" si="13"/>
        <v>COINCIDE</v>
      </c>
      <c r="P71" s="13" t="s">
        <v>90</v>
      </c>
      <c r="Q71" s="13" t="s">
        <v>22</v>
      </c>
      <c r="R71" s="13" t="s">
        <v>23</v>
      </c>
      <c r="S71" s="6"/>
      <c r="T71" s="6"/>
      <c r="U71" s="6"/>
      <c r="V71" s="6"/>
      <c r="W71" s="6"/>
      <c r="X71" s="6"/>
      <c r="Y71" s="6"/>
    </row>
    <row r="72" spans="1:25" ht="17.25" customHeight="1">
      <c r="A72" s="26" t="s">
        <v>18</v>
      </c>
      <c r="B72" s="26">
        <v>700022200</v>
      </c>
      <c r="C72" s="26">
        <v>7000035</v>
      </c>
      <c r="D72" s="26">
        <v>5403</v>
      </c>
      <c r="E72" s="13">
        <v>-69.492455699999994</v>
      </c>
      <c r="F72" s="13">
        <v>-31.7051318</v>
      </c>
      <c r="G72" s="13" t="s">
        <v>95</v>
      </c>
      <c r="H72" s="13" t="s">
        <v>20</v>
      </c>
      <c r="I72" s="13">
        <v>93.6</v>
      </c>
      <c r="J72" s="13">
        <f t="shared" si="0"/>
        <v>6</v>
      </c>
      <c r="K72" s="13">
        <v>219</v>
      </c>
      <c r="L72" s="13">
        <f t="shared" si="1"/>
        <v>6</v>
      </c>
      <c r="M72" s="13">
        <v>0.1277777777777778</v>
      </c>
      <c r="N72" s="13">
        <v>6</v>
      </c>
      <c r="O72" s="13" t="str">
        <f t="shared" si="13"/>
        <v>COINCIDE</v>
      </c>
      <c r="P72" s="13" t="s">
        <v>90</v>
      </c>
      <c r="Q72" s="13" t="s">
        <v>22</v>
      </c>
      <c r="R72" s="13" t="s">
        <v>96</v>
      </c>
      <c r="S72" s="6"/>
      <c r="T72" s="6"/>
      <c r="U72" s="6"/>
      <c r="V72" s="6"/>
      <c r="W72" s="6"/>
      <c r="X72" s="6"/>
      <c r="Y72" s="6"/>
    </row>
    <row r="73" spans="1:25" ht="15.75" customHeight="1">
      <c r="A73" s="13" t="s">
        <v>18</v>
      </c>
      <c r="B73" s="13">
        <v>700022400</v>
      </c>
      <c r="C73" s="13">
        <v>7000036</v>
      </c>
      <c r="D73" s="13">
        <v>5403</v>
      </c>
      <c r="E73" s="13">
        <v>-69.473987300000005</v>
      </c>
      <c r="F73" s="13">
        <v>-31.6501187</v>
      </c>
      <c r="G73" s="13" t="s">
        <v>93</v>
      </c>
      <c r="H73" s="13" t="s">
        <v>20</v>
      </c>
      <c r="I73" s="13">
        <v>90.9</v>
      </c>
      <c r="J73" s="13">
        <f t="shared" si="0"/>
        <v>6</v>
      </c>
      <c r="K73" s="13">
        <v>211</v>
      </c>
      <c r="L73" s="13">
        <f t="shared" si="1"/>
        <v>6</v>
      </c>
      <c r="M73" s="14">
        <v>0.12013888888888889</v>
      </c>
      <c r="N73" s="13">
        <v>6</v>
      </c>
      <c r="O73" s="13" t="str">
        <f t="shared" si="13"/>
        <v>COINCIDE</v>
      </c>
      <c r="P73" s="13" t="s">
        <v>90</v>
      </c>
      <c r="Q73" s="13" t="s">
        <v>22</v>
      </c>
      <c r="R73" s="13" t="s">
        <v>23</v>
      </c>
      <c r="S73" s="6"/>
      <c r="T73" s="6"/>
      <c r="U73" s="6"/>
      <c r="V73" s="6"/>
      <c r="W73" s="6"/>
      <c r="X73" s="6"/>
      <c r="Y73" s="6"/>
    </row>
    <row r="74" spans="1:25" ht="15.75" customHeight="1">
      <c r="A74" s="13" t="s">
        <v>18</v>
      </c>
      <c r="B74" s="13">
        <v>700022600</v>
      </c>
      <c r="C74" s="13">
        <v>7000037</v>
      </c>
      <c r="D74" s="13">
        <v>5403</v>
      </c>
      <c r="E74" s="13">
        <v>-69.4655044</v>
      </c>
      <c r="F74" s="13">
        <v>-31.622647199999999</v>
      </c>
      <c r="G74" s="13" t="s">
        <v>93</v>
      </c>
      <c r="H74" s="13" t="s">
        <v>20</v>
      </c>
      <c r="I74" s="13">
        <v>89.7</v>
      </c>
      <c r="J74" s="13">
        <f t="shared" si="0"/>
        <v>6</v>
      </c>
      <c r="K74" s="13">
        <v>207</v>
      </c>
      <c r="L74" s="13">
        <f t="shared" si="1"/>
        <v>6</v>
      </c>
      <c r="M74" s="14">
        <v>0.1173611111111111</v>
      </c>
      <c r="N74" s="13">
        <v>6</v>
      </c>
      <c r="O74" s="13" t="str">
        <f t="shared" si="13"/>
        <v>COINCIDE</v>
      </c>
      <c r="P74" s="13" t="s">
        <v>90</v>
      </c>
      <c r="Q74" s="13" t="s">
        <v>22</v>
      </c>
      <c r="R74" s="13" t="s">
        <v>23</v>
      </c>
      <c r="S74" s="6"/>
      <c r="T74" s="6"/>
      <c r="U74" s="6"/>
      <c r="V74" s="6"/>
      <c r="W74" s="6"/>
      <c r="X74" s="6"/>
      <c r="Y74" s="6"/>
    </row>
    <row r="75" spans="1:25" ht="15.75" customHeight="1">
      <c r="A75" s="13" t="s">
        <v>18</v>
      </c>
      <c r="B75" s="13">
        <v>700011500</v>
      </c>
      <c r="C75" s="13">
        <v>7000041</v>
      </c>
      <c r="D75" s="13">
        <v>5403</v>
      </c>
      <c r="E75" s="13">
        <v>-69.407994299999999</v>
      </c>
      <c r="F75" s="13">
        <v>-31.428097699999999</v>
      </c>
      <c r="G75" s="13" t="s">
        <v>97</v>
      </c>
      <c r="H75" s="13" t="s">
        <v>20</v>
      </c>
      <c r="I75" s="13">
        <v>84.7</v>
      </c>
      <c r="J75" s="13">
        <f t="shared" si="0"/>
        <v>6</v>
      </c>
      <c r="K75" s="13">
        <v>184</v>
      </c>
      <c r="L75" s="13">
        <f t="shared" si="1"/>
        <v>6</v>
      </c>
      <c r="M75" s="14">
        <v>0.10486111111111111</v>
      </c>
      <c r="N75" s="13">
        <v>6</v>
      </c>
      <c r="O75" s="13" t="str">
        <f t="shared" si="13"/>
        <v>COINCIDE</v>
      </c>
      <c r="P75" s="13" t="s">
        <v>90</v>
      </c>
      <c r="Q75" s="13" t="s">
        <v>22</v>
      </c>
      <c r="R75" s="13" t="s">
        <v>23</v>
      </c>
      <c r="S75" s="6"/>
      <c r="T75" s="6"/>
      <c r="U75" s="6"/>
      <c r="V75" s="6"/>
      <c r="W75" s="6"/>
      <c r="X75" s="6"/>
      <c r="Y75" s="6"/>
    </row>
    <row r="76" spans="1:25" ht="15.75" customHeight="1">
      <c r="A76" s="13" t="s">
        <v>18</v>
      </c>
      <c r="B76" s="13">
        <v>700011400</v>
      </c>
      <c r="C76" s="13">
        <v>7000042</v>
      </c>
      <c r="D76" s="13">
        <v>5403</v>
      </c>
      <c r="E76" s="13">
        <v>-69.402237200000002</v>
      </c>
      <c r="F76" s="13">
        <v>-31.478660900000001</v>
      </c>
      <c r="G76" s="13" t="s">
        <v>98</v>
      </c>
      <c r="H76" s="13" t="s">
        <v>20</v>
      </c>
      <c r="I76" s="13">
        <v>83.5</v>
      </c>
      <c r="J76" s="13">
        <f t="shared" si="0"/>
        <v>6</v>
      </c>
      <c r="K76" s="13">
        <v>190</v>
      </c>
      <c r="L76" s="13">
        <f t="shared" si="1"/>
        <v>6</v>
      </c>
      <c r="M76" s="14">
        <v>0.10833333333333334</v>
      </c>
      <c r="N76" s="13">
        <v>6</v>
      </c>
      <c r="O76" s="13" t="str">
        <f t="shared" si="13"/>
        <v>COINCIDE</v>
      </c>
      <c r="P76" s="13" t="s">
        <v>90</v>
      </c>
      <c r="Q76" s="13" t="s">
        <v>22</v>
      </c>
      <c r="R76" s="13" t="s">
        <v>23</v>
      </c>
      <c r="S76" s="6"/>
      <c r="T76" s="6"/>
      <c r="U76" s="6"/>
      <c r="V76" s="6"/>
      <c r="W76" s="6"/>
      <c r="X76" s="6"/>
      <c r="Y76" s="6"/>
    </row>
    <row r="77" spans="1:25" ht="15.75" customHeight="1">
      <c r="A77" s="13" t="s">
        <v>18</v>
      </c>
      <c r="B77" s="13">
        <v>700031800</v>
      </c>
      <c r="C77" s="13">
        <v>7000043</v>
      </c>
      <c r="D77" s="13">
        <v>5403</v>
      </c>
      <c r="E77" s="13">
        <v>-69.416073400000002</v>
      </c>
      <c r="F77" s="13">
        <v>-31.380785700000001</v>
      </c>
      <c r="G77" s="13" t="s">
        <v>99</v>
      </c>
      <c r="H77" s="13" t="s">
        <v>20</v>
      </c>
      <c r="I77" s="13">
        <v>86.4</v>
      </c>
      <c r="J77" s="13">
        <f t="shared" si="0"/>
        <v>6</v>
      </c>
      <c r="K77" s="13">
        <v>178</v>
      </c>
      <c r="L77" s="13">
        <f t="shared" si="1"/>
        <v>6</v>
      </c>
      <c r="M77" s="14">
        <v>0.10277777777777779</v>
      </c>
      <c r="N77" s="13">
        <v>6</v>
      </c>
      <c r="O77" s="13" t="str">
        <f t="shared" si="13"/>
        <v>COINCIDE</v>
      </c>
      <c r="P77" s="13" t="s">
        <v>90</v>
      </c>
      <c r="Q77" s="13" t="s">
        <v>22</v>
      </c>
      <c r="R77" s="13" t="s">
        <v>23</v>
      </c>
      <c r="S77" s="6"/>
      <c r="T77" s="6"/>
      <c r="U77" s="6"/>
      <c r="V77" s="6"/>
      <c r="W77" s="6"/>
      <c r="X77" s="6"/>
      <c r="Y77" s="6"/>
    </row>
    <row r="78" spans="1:25" ht="16.5" customHeight="1">
      <c r="A78" s="13" t="s">
        <v>18</v>
      </c>
      <c r="B78" s="13">
        <v>700044700</v>
      </c>
      <c r="C78" s="13">
        <v>7000044</v>
      </c>
      <c r="D78" s="13">
        <v>5403</v>
      </c>
      <c r="E78" s="13">
        <v>-69.469920500000001</v>
      </c>
      <c r="F78" s="13">
        <v>-31.137466100000001</v>
      </c>
      <c r="G78" s="13" t="s">
        <v>100</v>
      </c>
      <c r="H78" s="13" t="s">
        <v>20</v>
      </c>
      <c r="I78" s="13">
        <v>100</v>
      </c>
      <c r="J78" s="13">
        <f t="shared" si="0"/>
        <v>6</v>
      </c>
      <c r="K78" s="13">
        <v>198</v>
      </c>
      <c r="L78" s="13">
        <f t="shared" si="1"/>
        <v>6</v>
      </c>
      <c r="M78" s="14">
        <v>0.11388888888888889</v>
      </c>
      <c r="N78" s="13">
        <v>6</v>
      </c>
      <c r="O78" s="13" t="str">
        <f t="shared" si="13"/>
        <v>COINCIDE</v>
      </c>
      <c r="P78" s="13" t="s">
        <v>90</v>
      </c>
      <c r="Q78" s="13" t="s">
        <v>22</v>
      </c>
      <c r="R78" s="13" t="s">
        <v>23</v>
      </c>
      <c r="S78" s="6"/>
      <c r="T78" s="6"/>
      <c r="U78" s="6"/>
      <c r="V78" s="6"/>
      <c r="W78" s="6"/>
      <c r="X78" s="6"/>
      <c r="Y78" s="6"/>
    </row>
    <row r="79" spans="1:25" ht="15.75" customHeight="1">
      <c r="A79" s="13" t="s">
        <v>18</v>
      </c>
      <c r="B79" s="13">
        <v>700011300</v>
      </c>
      <c r="C79" s="13">
        <v>7000045</v>
      </c>
      <c r="D79" s="13">
        <v>5403</v>
      </c>
      <c r="E79" s="13">
        <v>-69.442217600000006</v>
      </c>
      <c r="F79" s="13">
        <v>-31.5576477</v>
      </c>
      <c r="G79" s="13" t="s">
        <v>101</v>
      </c>
      <c r="H79" s="13" t="s">
        <v>20</v>
      </c>
      <c r="I79" s="13">
        <v>87.5</v>
      </c>
      <c r="J79" s="13">
        <f t="shared" si="0"/>
        <v>6</v>
      </c>
      <c r="K79" s="13">
        <v>200</v>
      </c>
      <c r="L79" s="13">
        <f t="shared" si="1"/>
        <v>6</v>
      </c>
      <c r="M79" s="14">
        <v>0.11388888888888889</v>
      </c>
      <c r="N79" s="13">
        <v>6</v>
      </c>
      <c r="O79" s="13" t="str">
        <f t="shared" si="13"/>
        <v>COINCIDE</v>
      </c>
      <c r="P79" s="13" t="s">
        <v>90</v>
      </c>
      <c r="Q79" s="13" t="s">
        <v>22</v>
      </c>
      <c r="R79" s="13" t="s">
        <v>23</v>
      </c>
      <c r="S79" s="6"/>
      <c r="T79" s="6"/>
      <c r="U79" s="6"/>
      <c r="V79" s="6"/>
      <c r="W79" s="6"/>
      <c r="X79" s="6"/>
      <c r="Y79" s="6"/>
    </row>
    <row r="80" spans="1:25" ht="15.75" customHeight="1">
      <c r="A80" s="13" t="s">
        <v>18</v>
      </c>
      <c r="B80" s="13">
        <v>700010900</v>
      </c>
      <c r="C80" s="13">
        <v>7000046</v>
      </c>
      <c r="D80" s="13">
        <v>5403</v>
      </c>
      <c r="E80" s="13">
        <v>-69.424391299999996</v>
      </c>
      <c r="F80" s="13">
        <v>-31.477091699999999</v>
      </c>
      <c r="G80" s="13" t="s">
        <v>102</v>
      </c>
      <c r="H80" s="13" t="s">
        <v>20</v>
      </c>
      <c r="I80" s="13">
        <v>85.6</v>
      </c>
      <c r="J80" s="13">
        <f t="shared" si="0"/>
        <v>6</v>
      </c>
      <c r="K80" s="13">
        <v>194</v>
      </c>
      <c r="L80" s="13">
        <f t="shared" si="1"/>
        <v>6</v>
      </c>
      <c r="M80" s="14">
        <v>0.11388888888888889</v>
      </c>
      <c r="N80" s="13">
        <v>6</v>
      </c>
      <c r="O80" s="13" t="str">
        <f t="shared" si="13"/>
        <v>COINCIDE</v>
      </c>
      <c r="P80" s="13" t="s">
        <v>90</v>
      </c>
      <c r="Q80" s="13" t="s">
        <v>22</v>
      </c>
      <c r="R80" s="13" t="s">
        <v>23</v>
      </c>
      <c r="S80" s="6"/>
      <c r="T80" s="6"/>
      <c r="U80" s="6"/>
      <c r="V80" s="6"/>
      <c r="W80" s="6"/>
      <c r="X80" s="6"/>
      <c r="Y80" s="6"/>
    </row>
    <row r="81" spans="1:25" ht="15.75" customHeight="1">
      <c r="A81" s="13" t="s">
        <v>18</v>
      </c>
      <c r="B81" s="13">
        <v>700011100</v>
      </c>
      <c r="C81" s="13">
        <v>7000047</v>
      </c>
      <c r="D81" s="13">
        <v>5403</v>
      </c>
      <c r="E81" s="13">
        <v>-69.421845599999997</v>
      </c>
      <c r="F81" s="13">
        <v>-31.4573854</v>
      </c>
      <c r="G81" s="13" t="s">
        <v>102</v>
      </c>
      <c r="H81" s="13" t="s">
        <v>20</v>
      </c>
      <c r="I81" s="13">
        <v>85.6</v>
      </c>
      <c r="J81" s="13">
        <f t="shared" si="0"/>
        <v>6</v>
      </c>
      <c r="K81" s="13">
        <v>192</v>
      </c>
      <c r="L81" s="13">
        <f t="shared" si="1"/>
        <v>6</v>
      </c>
      <c r="M81" s="14">
        <v>0.11319444444444444</v>
      </c>
      <c r="N81" s="13">
        <v>6</v>
      </c>
      <c r="O81" s="13" t="str">
        <f t="shared" si="13"/>
        <v>COINCIDE</v>
      </c>
      <c r="P81" s="13" t="s">
        <v>90</v>
      </c>
      <c r="Q81" s="13" t="s">
        <v>22</v>
      </c>
      <c r="R81" s="13" t="s">
        <v>23</v>
      </c>
      <c r="S81" s="6"/>
      <c r="T81" s="6"/>
      <c r="U81" s="6"/>
      <c r="V81" s="6"/>
      <c r="W81" s="6"/>
      <c r="X81" s="6"/>
      <c r="Y81" s="6"/>
    </row>
    <row r="82" spans="1:25" ht="15.75" customHeight="1">
      <c r="A82" s="27" t="s">
        <v>18</v>
      </c>
      <c r="B82" s="27">
        <v>700041900</v>
      </c>
      <c r="C82" s="27">
        <v>7000190</v>
      </c>
      <c r="D82" s="27">
        <v>5460</v>
      </c>
      <c r="E82" s="27">
        <v>-68.7457019</v>
      </c>
      <c r="F82" s="27">
        <v>-30.246271100000001</v>
      </c>
      <c r="G82" s="27" t="s">
        <v>103</v>
      </c>
      <c r="H82" s="27" t="s">
        <v>104</v>
      </c>
      <c r="I82" s="27">
        <v>0.58199999999999996</v>
      </c>
      <c r="J82" s="27">
        <f t="shared" ref="J82:J103" si="14">IF(I82&lt;=2,3,IF(I82&lt;=10,5,6))</f>
        <v>3</v>
      </c>
      <c r="K82" s="27">
        <v>0.73399999999999999</v>
      </c>
      <c r="L82" s="27">
        <f t="shared" ref="L82:L103" si="15">IF(K82&lt;=2,3,IF(K82&lt;=10,5,6))</f>
        <v>3</v>
      </c>
      <c r="M82" s="28">
        <v>1.3888888888888889E-3</v>
      </c>
      <c r="N82" s="27">
        <v>3</v>
      </c>
      <c r="O82" s="27" t="str">
        <f t="shared" ref="O82:O103" si="16">IF(AVERAGE(J82,L82)=N82,"COINCIDE",IF(L82=N82,"INCONGRUENTE",IF(N82=7,"COINCIDE","DISTINTO")))</f>
        <v>COINCIDE</v>
      </c>
      <c r="P82" s="27" t="s">
        <v>105</v>
      </c>
      <c r="Q82" s="27" t="s">
        <v>22</v>
      </c>
      <c r="R82" s="27" t="s">
        <v>23</v>
      </c>
      <c r="S82" s="6"/>
      <c r="T82" s="6"/>
      <c r="U82" s="6"/>
      <c r="V82" s="6"/>
      <c r="W82" s="6"/>
      <c r="X82" s="6"/>
      <c r="Y82" s="6"/>
    </row>
    <row r="83" spans="1:25" ht="15.75" customHeight="1">
      <c r="A83" s="13" t="s">
        <v>18</v>
      </c>
      <c r="B83" s="13">
        <v>700045200</v>
      </c>
      <c r="C83" s="13">
        <v>7000191</v>
      </c>
      <c r="D83" s="13">
        <v>5460</v>
      </c>
      <c r="E83" s="13">
        <v>-68.749838699999998</v>
      </c>
      <c r="F83" s="13">
        <v>-30.2403947</v>
      </c>
      <c r="G83" s="13" t="s">
        <v>103</v>
      </c>
      <c r="H83" s="13" t="s">
        <v>104</v>
      </c>
      <c r="I83" s="13">
        <v>0.29799999999999999</v>
      </c>
      <c r="J83" s="27">
        <f t="shared" si="14"/>
        <v>3</v>
      </c>
      <c r="K83" s="13">
        <v>0.44500000000000001</v>
      </c>
      <c r="L83" s="27">
        <f t="shared" si="15"/>
        <v>3</v>
      </c>
      <c r="M83" s="14">
        <v>6.9444444444444447E-4</v>
      </c>
      <c r="N83" s="13">
        <v>3</v>
      </c>
      <c r="O83" s="13" t="str">
        <f t="shared" si="16"/>
        <v>COINCIDE</v>
      </c>
      <c r="P83" s="13" t="s">
        <v>105</v>
      </c>
      <c r="Q83" s="13" t="s">
        <v>22</v>
      </c>
      <c r="R83" s="13" t="s">
        <v>23</v>
      </c>
      <c r="S83" s="6"/>
      <c r="T83" s="6"/>
      <c r="U83" s="6"/>
      <c r="V83" s="6"/>
      <c r="W83" s="6"/>
      <c r="X83" s="6"/>
      <c r="Y83" s="6"/>
    </row>
    <row r="84" spans="1:25" ht="15.75" customHeight="1">
      <c r="A84" s="13" t="s">
        <v>62</v>
      </c>
      <c r="B84" s="13">
        <v>700045100</v>
      </c>
      <c r="C84" s="13">
        <v>7000192</v>
      </c>
      <c r="D84" s="13">
        <v>5460</v>
      </c>
      <c r="E84" s="13">
        <v>-68.741831899999994</v>
      </c>
      <c r="F84" s="13">
        <v>-30.239559199999999</v>
      </c>
      <c r="G84" s="13" t="s">
        <v>103</v>
      </c>
      <c r="H84" s="13" t="s">
        <v>104</v>
      </c>
      <c r="I84" s="13">
        <v>0.56499999999999995</v>
      </c>
      <c r="J84" s="27">
        <f t="shared" si="14"/>
        <v>3</v>
      </c>
      <c r="K84" s="13">
        <v>0.86799999999999999</v>
      </c>
      <c r="L84" s="27">
        <f t="shared" si="15"/>
        <v>3</v>
      </c>
      <c r="M84" s="14">
        <v>1.3888888888888889E-3</v>
      </c>
      <c r="N84" s="13">
        <v>3</v>
      </c>
      <c r="O84" s="13" t="str">
        <f t="shared" si="16"/>
        <v>COINCIDE</v>
      </c>
      <c r="P84" s="13" t="s">
        <v>105</v>
      </c>
      <c r="Q84" s="13" t="s">
        <v>22</v>
      </c>
      <c r="R84" s="13" t="s">
        <v>23</v>
      </c>
      <c r="S84" s="6"/>
      <c r="T84" s="6"/>
      <c r="U84" s="6"/>
      <c r="V84" s="6"/>
      <c r="W84" s="6"/>
      <c r="X84" s="6"/>
      <c r="Y84" s="6"/>
    </row>
    <row r="85" spans="1:25" ht="15.75" customHeight="1">
      <c r="A85" s="13" t="s">
        <v>38</v>
      </c>
      <c r="B85" s="13">
        <v>700045300</v>
      </c>
      <c r="C85" s="13">
        <v>7000193</v>
      </c>
      <c r="D85" s="13">
        <v>5460</v>
      </c>
      <c r="E85" s="13">
        <v>-68.763394700000006</v>
      </c>
      <c r="F85" s="13">
        <v>-30.225254199999998</v>
      </c>
      <c r="G85" s="13" t="s">
        <v>106</v>
      </c>
      <c r="H85" s="13" t="s">
        <v>104</v>
      </c>
      <c r="I85" s="13">
        <v>2.5</v>
      </c>
      <c r="J85" s="27">
        <f t="shared" si="14"/>
        <v>5</v>
      </c>
      <c r="K85" s="13">
        <v>3</v>
      </c>
      <c r="L85" s="27">
        <f t="shared" si="15"/>
        <v>5</v>
      </c>
      <c r="M85" s="14">
        <v>3.472222222222222E-3</v>
      </c>
      <c r="N85" s="13">
        <v>5</v>
      </c>
      <c r="O85" s="13" t="str">
        <f t="shared" si="16"/>
        <v>COINCIDE</v>
      </c>
      <c r="P85" s="13" t="s">
        <v>105</v>
      </c>
      <c r="Q85" s="13" t="s">
        <v>22</v>
      </c>
      <c r="R85" s="13" t="s">
        <v>23</v>
      </c>
      <c r="S85" s="6"/>
      <c r="T85" s="6"/>
      <c r="U85" s="6"/>
      <c r="V85" s="6"/>
      <c r="W85" s="6"/>
      <c r="X85" s="6"/>
      <c r="Y85" s="6"/>
    </row>
    <row r="86" spans="1:25" ht="15.75" customHeight="1">
      <c r="A86" s="13" t="s">
        <v>40</v>
      </c>
      <c r="B86" s="13">
        <v>700041400</v>
      </c>
      <c r="C86" s="13">
        <v>7000194</v>
      </c>
      <c r="D86" s="13">
        <v>5460</v>
      </c>
      <c r="E86" s="13">
        <v>-68.731766899999997</v>
      </c>
      <c r="F86" s="13">
        <v>-30.244944400000001</v>
      </c>
      <c r="G86" s="13" t="s">
        <v>107</v>
      </c>
      <c r="H86" s="13" t="s">
        <v>104</v>
      </c>
      <c r="I86" s="13">
        <v>1.54</v>
      </c>
      <c r="J86" s="27">
        <f t="shared" si="14"/>
        <v>3</v>
      </c>
      <c r="K86" s="13">
        <v>2</v>
      </c>
      <c r="L86" s="27">
        <f t="shared" si="15"/>
        <v>3</v>
      </c>
      <c r="M86" s="14">
        <v>1.3888888888888889E-3</v>
      </c>
      <c r="N86" s="13">
        <v>3</v>
      </c>
      <c r="O86" s="13" t="str">
        <f t="shared" si="16"/>
        <v>COINCIDE</v>
      </c>
      <c r="P86" s="13" t="s">
        <v>105</v>
      </c>
      <c r="Q86" s="13" t="s">
        <v>22</v>
      </c>
      <c r="R86" s="13" t="s">
        <v>108</v>
      </c>
      <c r="S86" s="6"/>
      <c r="T86" s="6"/>
      <c r="U86" s="6"/>
      <c r="V86" s="6"/>
      <c r="W86" s="6"/>
      <c r="X86" s="6"/>
      <c r="Y86" s="6"/>
    </row>
    <row r="87" spans="1:25" ht="15.75" customHeight="1">
      <c r="A87" s="13" t="s">
        <v>18</v>
      </c>
      <c r="B87" s="13">
        <v>700051900</v>
      </c>
      <c r="C87" s="13">
        <v>7000195</v>
      </c>
      <c r="D87" s="13">
        <v>5460</v>
      </c>
      <c r="E87" s="13">
        <v>-68.694635899999994</v>
      </c>
      <c r="F87" s="13">
        <v>-30.3996733</v>
      </c>
      <c r="G87" s="13" t="s">
        <v>109</v>
      </c>
      <c r="H87" s="13" t="s">
        <v>104</v>
      </c>
      <c r="I87" s="13">
        <v>18.399999999999999</v>
      </c>
      <c r="J87" s="27">
        <f t="shared" si="14"/>
        <v>6</v>
      </c>
      <c r="K87" s="13">
        <v>23</v>
      </c>
      <c r="L87" s="27">
        <f t="shared" si="15"/>
        <v>6</v>
      </c>
      <c r="M87" s="14">
        <v>1.3888888888888888E-2</v>
      </c>
      <c r="N87" s="13">
        <v>6</v>
      </c>
      <c r="O87" s="13" t="str">
        <f t="shared" si="16"/>
        <v>COINCIDE</v>
      </c>
      <c r="P87" s="13" t="s">
        <v>105</v>
      </c>
      <c r="Q87" s="13" t="s">
        <v>22</v>
      </c>
      <c r="R87" s="13" t="s">
        <v>23</v>
      </c>
      <c r="S87" s="6"/>
      <c r="T87" s="6"/>
      <c r="U87" s="6"/>
      <c r="V87" s="6"/>
      <c r="W87" s="6"/>
      <c r="X87" s="6"/>
      <c r="Y87" s="6"/>
    </row>
    <row r="88" spans="1:25" ht="15.75" customHeight="1">
      <c r="A88" s="13" t="s">
        <v>18</v>
      </c>
      <c r="B88" s="13">
        <v>700040800</v>
      </c>
      <c r="C88" s="13">
        <v>7000197</v>
      </c>
      <c r="D88" s="13">
        <v>5460</v>
      </c>
      <c r="E88" s="13">
        <v>-68.661290399999999</v>
      </c>
      <c r="F88" s="13">
        <v>-30.149797700000001</v>
      </c>
      <c r="G88" s="13" t="s">
        <v>110</v>
      </c>
      <c r="H88" s="13" t="s">
        <v>104</v>
      </c>
      <c r="I88" s="13">
        <v>13.2</v>
      </c>
      <c r="J88" s="27">
        <f t="shared" si="14"/>
        <v>6</v>
      </c>
      <c r="K88" s="13">
        <v>18</v>
      </c>
      <c r="L88" s="27">
        <f t="shared" si="15"/>
        <v>6</v>
      </c>
      <c r="M88" s="14">
        <v>1.4583333333333332E-2</v>
      </c>
      <c r="N88" s="13">
        <v>6</v>
      </c>
      <c r="O88" s="13" t="str">
        <f t="shared" si="16"/>
        <v>COINCIDE</v>
      </c>
      <c r="P88" s="13" t="s">
        <v>105</v>
      </c>
      <c r="Q88" s="13" t="s">
        <v>22</v>
      </c>
      <c r="R88" s="13" t="s">
        <v>23</v>
      </c>
      <c r="S88" s="6"/>
      <c r="T88" s="6"/>
      <c r="U88" s="6"/>
      <c r="V88" s="6"/>
      <c r="W88" s="6"/>
      <c r="X88" s="6"/>
      <c r="Y88" s="6"/>
    </row>
    <row r="89" spans="1:25" ht="15.75" customHeight="1">
      <c r="A89" s="29" t="s">
        <v>18</v>
      </c>
      <c r="B89" s="29">
        <v>700009300</v>
      </c>
      <c r="C89" s="29">
        <v>7000198</v>
      </c>
      <c r="D89" s="29">
        <v>5460</v>
      </c>
      <c r="E89" s="29">
        <v>-68.669995599999993</v>
      </c>
      <c r="F89" s="29">
        <v>-30.2615716</v>
      </c>
      <c r="G89" s="29" t="s">
        <v>111</v>
      </c>
      <c r="H89" s="29" t="s">
        <v>104</v>
      </c>
      <c r="I89" s="29">
        <v>7.86</v>
      </c>
      <c r="J89" s="30">
        <f t="shared" si="14"/>
        <v>5</v>
      </c>
      <c r="K89" s="29">
        <v>13</v>
      </c>
      <c r="L89" s="30">
        <f t="shared" si="15"/>
        <v>6</v>
      </c>
      <c r="M89" s="31">
        <v>1.0416666666666666E-2</v>
      </c>
      <c r="N89" s="29">
        <v>6</v>
      </c>
      <c r="O89" s="29" t="str">
        <f t="shared" si="16"/>
        <v>INCONGRUENTE</v>
      </c>
      <c r="P89" s="29" t="s">
        <v>105</v>
      </c>
      <c r="Q89" s="29" t="s">
        <v>22</v>
      </c>
      <c r="R89" s="29" t="s">
        <v>23</v>
      </c>
      <c r="S89" s="6"/>
      <c r="T89" s="6"/>
      <c r="U89" s="6"/>
      <c r="V89" s="6"/>
      <c r="W89" s="6"/>
      <c r="X89" s="6"/>
      <c r="Y89" s="6"/>
    </row>
    <row r="90" spans="1:25" ht="15.75" customHeight="1">
      <c r="A90" s="13" t="s">
        <v>18</v>
      </c>
      <c r="B90" s="13">
        <v>700051800</v>
      </c>
      <c r="C90" s="13">
        <v>7000199</v>
      </c>
      <c r="D90" s="13">
        <v>5460</v>
      </c>
      <c r="E90" s="13">
        <v>-68.696806100000003</v>
      </c>
      <c r="F90" s="13">
        <v>-30.325809100000001</v>
      </c>
      <c r="G90" s="13" t="s">
        <v>112</v>
      </c>
      <c r="H90" s="13" t="s">
        <v>104</v>
      </c>
      <c r="I90" s="13">
        <v>10.6</v>
      </c>
      <c r="J90" s="27">
        <f t="shared" si="14"/>
        <v>6</v>
      </c>
      <c r="K90" s="13">
        <v>15</v>
      </c>
      <c r="L90" s="27">
        <f t="shared" si="15"/>
        <v>6</v>
      </c>
      <c r="M90" s="14">
        <v>1.1111111111111112E-2</v>
      </c>
      <c r="N90" s="13">
        <v>6</v>
      </c>
      <c r="O90" s="13" t="str">
        <f t="shared" si="16"/>
        <v>COINCIDE</v>
      </c>
      <c r="P90" s="13" t="s">
        <v>105</v>
      </c>
      <c r="Q90" s="13" t="s">
        <v>22</v>
      </c>
      <c r="R90" s="13" t="s">
        <v>23</v>
      </c>
      <c r="S90" s="6"/>
      <c r="T90" s="6"/>
      <c r="U90" s="6"/>
      <c r="V90" s="6"/>
      <c r="W90" s="6"/>
      <c r="X90" s="6"/>
      <c r="Y90" s="6"/>
    </row>
    <row r="91" spans="1:25" ht="15.75" customHeight="1">
      <c r="A91" s="13" t="s">
        <v>18</v>
      </c>
      <c r="B91" s="13">
        <v>700009700</v>
      </c>
      <c r="C91" s="13">
        <v>7000200</v>
      </c>
      <c r="D91" s="13">
        <v>5460</v>
      </c>
      <c r="E91" s="13">
        <v>-68.681511799999996</v>
      </c>
      <c r="F91" s="13">
        <v>-30.126675200000001</v>
      </c>
      <c r="G91" s="13" t="s">
        <v>113</v>
      </c>
      <c r="H91" s="13" t="s">
        <v>104</v>
      </c>
      <c r="I91" s="13">
        <v>14.3</v>
      </c>
      <c r="J91" s="27">
        <f t="shared" si="14"/>
        <v>6</v>
      </c>
      <c r="K91" s="13">
        <v>19</v>
      </c>
      <c r="L91" s="27">
        <f t="shared" si="15"/>
        <v>6</v>
      </c>
      <c r="M91" s="14">
        <v>1.5277777777777777E-2</v>
      </c>
      <c r="N91" s="13">
        <v>6</v>
      </c>
      <c r="O91" s="13" t="str">
        <f t="shared" si="16"/>
        <v>COINCIDE</v>
      </c>
      <c r="P91" s="13" t="s">
        <v>105</v>
      </c>
      <c r="Q91" s="13" t="s">
        <v>22</v>
      </c>
      <c r="R91" s="13" t="s">
        <v>23</v>
      </c>
      <c r="S91" s="6"/>
      <c r="T91" s="6"/>
      <c r="U91" s="6"/>
      <c r="V91" s="6"/>
      <c r="W91" s="6"/>
      <c r="X91" s="6"/>
      <c r="Y91" s="6"/>
    </row>
    <row r="92" spans="1:25" ht="15.75" customHeight="1">
      <c r="A92" s="13" t="s">
        <v>26</v>
      </c>
      <c r="B92" s="13">
        <v>700016900</v>
      </c>
      <c r="C92" s="13">
        <v>7000202</v>
      </c>
      <c r="D92" s="13">
        <v>5460</v>
      </c>
      <c r="E92" s="13">
        <v>-68.482692400000005</v>
      </c>
      <c r="F92" s="13">
        <v>-30.158562</v>
      </c>
      <c r="G92" s="13" t="s">
        <v>114</v>
      </c>
      <c r="H92" s="13" t="s">
        <v>104</v>
      </c>
      <c r="I92" s="13">
        <v>27.3</v>
      </c>
      <c r="J92" s="27">
        <f t="shared" si="14"/>
        <v>6</v>
      </c>
      <c r="K92" s="13">
        <v>54</v>
      </c>
      <c r="L92" s="27">
        <f t="shared" si="15"/>
        <v>6</v>
      </c>
      <c r="M92" s="14">
        <v>2.7777777777777776E-2</v>
      </c>
      <c r="N92" s="13">
        <v>6</v>
      </c>
      <c r="O92" s="13" t="str">
        <f t="shared" si="16"/>
        <v>COINCIDE</v>
      </c>
      <c r="P92" s="13" t="s">
        <v>105</v>
      </c>
      <c r="Q92" s="13" t="s">
        <v>22</v>
      </c>
      <c r="R92" s="13" t="s">
        <v>23</v>
      </c>
      <c r="S92" s="6"/>
      <c r="T92" s="6"/>
      <c r="U92" s="6"/>
      <c r="V92" s="6"/>
      <c r="W92" s="6"/>
      <c r="X92" s="6"/>
      <c r="Y92" s="6"/>
    </row>
    <row r="93" spans="1:25" ht="15.75" customHeight="1">
      <c r="A93" s="13" t="s">
        <v>18</v>
      </c>
      <c r="B93" s="13">
        <v>700016700</v>
      </c>
      <c r="C93" s="13">
        <v>7000203</v>
      </c>
      <c r="D93" s="13">
        <v>5460</v>
      </c>
      <c r="E93" s="13">
        <v>-68.478823599999998</v>
      </c>
      <c r="F93" s="13">
        <v>-30.173898600000001</v>
      </c>
      <c r="G93" s="13" t="s">
        <v>115</v>
      </c>
      <c r="H93" s="13" t="s">
        <v>104</v>
      </c>
      <c r="I93" s="13">
        <v>26.9</v>
      </c>
      <c r="J93" s="27">
        <f t="shared" si="14"/>
        <v>6</v>
      </c>
      <c r="K93" s="13">
        <v>50</v>
      </c>
      <c r="L93" s="27">
        <f t="shared" si="15"/>
        <v>6</v>
      </c>
      <c r="M93" s="14">
        <v>2.7777777777777776E-2</v>
      </c>
      <c r="N93" s="13">
        <v>6</v>
      </c>
      <c r="O93" s="13" t="str">
        <f t="shared" si="16"/>
        <v>COINCIDE</v>
      </c>
      <c r="P93" s="13" t="s">
        <v>105</v>
      </c>
      <c r="Q93" s="13" t="s">
        <v>22</v>
      </c>
      <c r="R93" s="13" t="s">
        <v>23</v>
      </c>
      <c r="S93" s="6"/>
      <c r="T93" s="6"/>
      <c r="U93" s="6"/>
      <c r="V93" s="6"/>
      <c r="W93" s="6"/>
      <c r="X93" s="6"/>
      <c r="Y93" s="6"/>
    </row>
    <row r="94" spans="1:25" ht="15.75" customHeight="1">
      <c r="A94" s="13" t="s">
        <v>18</v>
      </c>
      <c r="B94" s="13">
        <v>700016800</v>
      </c>
      <c r="C94" s="13">
        <v>7000204</v>
      </c>
      <c r="D94" s="13">
        <v>5460</v>
      </c>
      <c r="E94" s="13">
        <v>-68.510962699999993</v>
      </c>
      <c r="F94" s="13">
        <v>-30.138235099999999</v>
      </c>
      <c r="G94" s="13" t="s">
        <v>116</v>
      </c>
      <c r="H94" s="13" t="s">
        <v>104</v>
      </c>
      <c r="I94" s="13">
        <v>25.5</v>
      </c>
      <c r="J94" s="27">
        <f t="shared" si="14"/>
        <v>6</v>
      </c>
      <c r="K94" s="13">
        <v>34</v>
      </c>
      <c r="L94" s="27">
        <f t="shared" si="15"/>
        <v>6</v>
      </c>
      <c r="M94" s="14">
        <v>2.7083333333333334E-2</v>
      </c>
      <c r="N94" s="13">
        <v>6</v>
      </c>
      <c r="O94" s="13" t="str">
        <f t="shared" si="16"/>
        <v>COINCIDE</v>
      </c>
      <c r="P94" s="13" t="s">
        <v>105</v>
      </c>
      <c r="Q94" s="13" t="s">
        <v>22</v>
      </c>
      <c r="R94" s="13" t="s">
        <v>23</v>
      </c>
      <c r="S94" s="6"/>
      <c r="T94" s="6"/>
      <c r="U94" s="6"/>
      <c r="V94" s="6"/>
      <c r="W94" s="6"/>
      <c r="X94" s="6"/>
      <c r="Y94" s="6"/>
    </row>
    <row r="95" spans="1:25" ht="15.75" customHeight="1">
      <c r="A95" s="13" t="s">
        <v>18</v>
      </c>
      <c r="B95" s="13">
        <v>700017000</v>
      </c>
      <c r="C95" s="13">
        <v>7000206</v>
      </c>
      <c r="D95" s="13">
        <v>5460</v>
      </c>
      <c r="E95" s="13">
        <v>-68.573134499999995</v>
      </c>
      <c r="F95" s="13">
        <v>-30.151422199999999</v>
      </c>
      <c r="G95" s="13" t="s">
        <v>117</v>
      </c>
      <c r="H95" s="13" t="s">
        <v>104</v>
      </c>
      <c r="I95" s="13">
        <v>19.600000000000001</v>
      </c>
      <c r="J95" s="27">
        <f t="shared" si="14"/>
        <v>6</v>
      </c>
      <c r="K95" s="13">
        <v>25</v>
      </c>
      <c r="L95" s="27">
        <f t="shared" si="15"/>
        <v>6</v>
      </c>
      <c r="M95" s="14">
        <v>1.8749999999999999E-2</v>
      </c>
      <c r="N95" s="13">
        <v>6</v>
      </c>
      <c r="O95" s="13" t="str">
        <f t="shared" si="16"/>
        <v>COINCIDE</v>
      </c>
      <c r="P95" s="13" t="s">
        <v>105</v>
      </c>
      <c r="Q95" s="13" t="s">
        <v>22</v>
      </c>
      <c r="R95" s="13" t="s">
        <v>23</v>
      </c>
      <c r="S95" s="6"/>
      <c r="T95" s="6"/>
      <c r="U95" s="6"/>
      <c r="V95" s="6"/>
      <c r="W95" s="6"/>
      <c r="X95" s="6"/>
      <c r="Y95" s="6"/>
    </row>
    <row r="96" spans="1:25" ht="15.75" customHeight="1">
      <c r="A96" s="13" t="s">
        <v>18</v>
      </c>
      <c r="B96" s="13">
        <v>700009900</v>
      </c>
      <c r="C96" s="13">
        <v>7000207</v>
      </c>
      <c r="D96" s="13">
        <v>5460</v>
      </c>
      <c r="E96" s="13">
        <v>-68.659790299999997</v>
      </c>
      <c r="F96" s="13">
        <v>-30.190057100000001</v>
      </c>
      <c r="G96" s="13" t="s">
        <v>118</v>
      </c>
      <c r="H96" s="13" t="s">
        <v>104</v>
      </c>
      <c r="I96" s="13">
        <v>10.199999999999999</v>
      </c>
      <c r="J96" s="27">
        <f t="shared" si="14"/>
        <v>6</v>
      </c>
      <c r="K96" s="13">
        <v>13</v>
      </c>
      <c r="L96" s="27">
        <f t="shared" si="15"/>
        <v>6</v>
      </c>
      <c r="M96" s="14">
        <v>9.7222222222222224E-3</v>
      </c>
      <c r="N96" s="13">
        <v>6</v>
      </c>
      <c r="O96" s="13" t="str">
        <f t="shared" si="16"/>
        <v>COINCIDE</v>
      </c>
      <c r="P96" s="13" t="s">
        <v>105</v>
      </c>
      <c r="Q96" s="13" t="s">
        <v>22</v>
      </c>
      <c r="R96" s="13" t="s">
        <v>23</v>
      </c>
      <c r="S96" s="6"/>
      <c r="T96" s="6"/>
      <c r="U96" s="6"/>
      <c r="V96" s="6"/>
      <c r="W96" s="6"/>
      <c r="X96" s="6"/>
      <c r="Y96" s="6"/>
    </row>
    <row r="97" spans="1:25" ht="15.75" customHeight="1">
      <c r="A97" s="13" t="s">
        <v>18</v>
      </c>
      <c r="B97" s="13">
        <v>700009800</v>
      </c>
      <c r="C97" s="13">
        <v>7000208</v>
      </c>
      <c r="D97" s="13">
        <v>5460</v>
      </c>
      <c r="E97" s="13">
        <v>-68.718248700000004</v>
      </c>
      <c r="F97" s="13">
        <v>-30.101077400000001</v>
      </c>
      <c r="G97" s="13" t="s">
        <v>119</v>
      </c>
      <c r="H97" s="13" t="s">
        <v>104</v>
      </c>
      <c r="I97" s="13">
        <v>15.6</v>
      </c>
      <c r="J97" s="27">
        <f t="shared" si="14"/>
        <v>6</v>
      </c>
      <c r="K97" s="13">
        <v>18</v>
      </c>
      <c r="L97" s="27">
        <f t="shared" si="15"/>
        <v>6</v>
      </c>
      <c r="M97" s="14">
        <v>1.6666666666666666E-2</v>
      </c>
      <c r="N97" s="13">
        <v>6</v>
      </c>
      <c r="O97" s="13" t="str">
        <f t="shared" si="16"/>
        <v>COINCIDE</v>
      </c>
      <c r="P97" s="13" t="s">
        <v>105</v>
      </c>
      <c r="Q97" s="13" t="s">
        <v>22</v>
      </c>
      <c r="R97" s="13" t="s">
        <v>23</v>
      </c>
      <c r="S97" s="6"/>
      <c r="T97" s="6"/>
      <c r="U97" s="6"/>
      <c r="V97" s="6"/>
      <c r="W97" s="6"/>
      <c r="X97" s="6"/>
      <c r="Y97" s="6"/>
    </row>
    <row r="98" spans="1:25" ht="15.75" customHeight="1">
      <c r="A98" s="11" t="s">
        <v>18</v>
      </c>
      <c r="B98" s="11">
        <v>700041000</v>
      </c>
      <c r="C98" s="11">
        <v>7000209</v>
      </c>
      <c r="D98" s="11">
        <v>5460</v>
      </c>
      <c r="E98" s="11">
        <v>-68.687730099999996</v>
      </c>
      <c r="F98" s="11">
        <v>-30.2281963</v>
      </c>
      <c r="G98" s="11" t="s">
        <v>120</v>
      </c>
      <c r="H98" s="11" t="s">
        <v>104</v>
      </c>
      <c r="I98" s="11">
        <v>5.92</v>
      </c>
      <c r="J98" s="32">
        <f t="shared" si="14"/>
        <v>5</v>
      </c>
      <c r="K98" s="11">
        <v>7</v>
      </c>
      <c r="L98" s="32">
        <f t="shared" si="15"/>
        <v>5</v>
      </c>
      <c r="M98" s="12">
        <v>6.9444444444444441E-3</v>
      </c>
      <c r="N98" s="11">
        <v>6</v>
      </c>
      <c r="O98" s="11" t="str">
        <f t="shared" si="16"/>
        <v>DISTINTO</v>
      </c>
      <c r="P98" s="11" t="s">
        <v>105</v>
      </c>
      <c r="Q98" s="11" t="s">
        <v>22</v>
      </c>
      <c r="R98" s="11" t="s">
        <v>23</v>
      </c>
      <c r="S98" s="6"/>
      <c r="T98" s="6"/>
      <c r="U98" s="6"/>
      <c r="V98" s="6"/>
      <c r="W98" s="6"/>
      <c r="X98" s="6"/>
      <c r="Y98" s="6"/>
    </row>
    <row r="99" spans="1:25" ht="15.75" customHeight="1">
      <c r="A99" s="13" t="s">
        <v>18</v>
      </c>
      <c r="B99" s="13">
        <v>700042200</v>
      </c>
      <c r="C99" s="13">
        <v>7000210</v>
      </c>
      <c r="D99" s="13">
        <v>5460</v>
      </c>
      <c r="E99" s="13">
        <v>-68.690444099999993</v>
      </c>
      <c r="F99" s="13">
        <v>-30.0861874</v>
      </c>
      <c r="G99" s="13" t="s">
        <v>121</v>
      </c>
      <c r="H99" s="13" t="s">
        <v>104</v>
      </c>
      <c r="I99" s="13">
        <v>18.2</v>
      </c>
      <c r="J99" s="27">
        <f t="shared" si="14"/>
        <v>6</v>
      </c>
      <c r="K99" s="13">
        <v>20</v>
      </c>
      <c r="L99" s="27">
        <f t="shared" si="15"/>
        <v>6</v>
      </c>
      <c r="M99" s="14">
        <v>1.7361111111111112E-2</v>
      </c>
      <c r="N99" s="13">
        <v>6</v>
      </c>
      <c r="O99" s="13" t="str">
        <f t="shared" si="16"/>
        <v>COINCIDE</v>
      </c>
      <c r="P99" s="13" t="s">
        <v>105</v>
      </c>
      <c r="Q99" s="13" t="s">
        <v>22</v>
      </c>
      <c r="R99" s="13" t="s">
        <v>23</v>
      </c>
      <c r="S99" s="6"/>
      <c r="T99" s="6"/>
      <c r="U99" s="6"/>
      <c r="V99" s="6"/>
      <c r="W99" s="6"/>
      <c r="X99" s="6"/>
      <c r="Y99" s="6"/>
    </row>
    <row r="100" spans="1:25" ht="15.75" customHeight="1">
      <c r="A100" s="13" t="s">
        <v>18</v>
      </c>
      <c r="B100" s="13">
        <v>700044600</v>
      </c>
      <c r="C100" s="13">
        <v>7000211</v>
      </c>
      <c r="D100" s="13">
        <v>5460</v>
      </c>
      <c r="E100" s="13">
        <v>-68.318083099999996</v>
      </c>
      <c r="F100" s="13">
        <v>-30.682243100000001</v>
      </c>
      <c r="G100" s="13" t="s">
        <v>122</v>
      </c>
      <c r="H100" s="13" t="s">
        <v>104</v>
      </c>
      <c r="I100" s="13">
        <v>63.1</v>
      </c>
      <c r="J100" s="27">
        <f t="shared" si="14"/>
        <v>6</v>
      </c>
      <c r="K100" s="13">
        <v>87</v>
      </c>
      <c r="L100" s="27">
        <f t="shared" si="15"/>
        <v>6</v>
      </c>
      <c r="M100" s="14">
        <v>0.15972222222222224</v>
      </c>
      <c r="N100" s="13">
        <v>7</v>
      </c>
      <c r="O100" s="13" t="str">
        <f t="shared" si="16"/>
        <v>COINCIDE</v>
      </c>
      <c r="P100" s="13" t="s">
        <v>105</v>
      </c>
      <c r="Q100" s="13" t="s">
        <v>22</v>
      </c>
      <c r="R100" s="13" t="s">
        <v>23</v>
      </c>
      <c r="S100" s="6"/>
      <c r="T100" s="6"/>
      <c r="U100" s="6"/>
      <c r="V100" s="6"/>
      <c r="W100" s="6"/>
      <c r="X100" s="6"/>
      <c r="Y100" s="6"/>
    </row>
    <row r="101" spans="1:25" ht="15.75" customHeight="1">
      <c r="A101" s="13" t="s">
        <v>18</v>
      </c>
      <c r="B101" s="13">
        <v>700044500</v>
      </c>
      <c r="C101" s="13">
        <v>7000212</v>
      </c>
      <c r="D101" s="13">
        <v>5460</v>
      </c>
      <c r="E101" s="13">
        <v>-68.361163099999999</v>
      </c>
      <c r="F101" s="13">
        <v>-30.694232599999999</v>
      </c>
      <c r="G101" s="13" t="s">
        <v>123</v>
      </c>
      <c r="H101" s="13" t="s">
        <v>104</v>
      </c>
      <c r="I101" s="13">
        <v>62.8</v>
      </c>
      <c r="J101" s="27">
        <f t="shared" si="14"/>
        <v>6</v>
      </c>
      <c r="K101" s="13">
        <v>82</v>
      </c>
      <c r="L101" s="27">
        <f t="shared" si="15"/>
        <v>6</v>
      </c>
      <c r="M101" s="14">
        <v>0.125</v>
      </c>
      <c r="N101" s="13">
        <v>7</v>
      </c>
      <c r="O101" s="13" t="str">
        <f t="shared" si="16"/>
        <v>COINCIDE</v>
      </c>
      <c r="P101" s="13" t="s">
        <v>105</v>
      </c>
      <c r="Q101" s="13" t="s">
        <v>22</v>
      </c>
      <c r="R101" s="13" t="s">
        <v>23</v>
      </c>
      <c r="S101" s="6"/>
      <c r="T101" s="6"/>
      <c r="U101" s="6"/>
      <c r="V101" s="6"/>
      <c r="W101" s="6"/>
      <c r="X101" s="6"/>
      <c r="Y101" s="6"/>
    </row>
    <row r="102" spans="1:25" ht="15.75" customHeight="1">
      <c r="A102" s="11" t="s">
        <v>18</v>
      </c>
      <c r="B102" s="11">
        <v>700051100</v>
      </c>
      <c r="C102" s="11">
        <v>7000214</v>
      </c>
      <c r="D102" s="11">
        <v>5460</v>
      </c>
      <c r="E102" s="11">
        <v>-68.829180300000004</v>
      </c>
      <c r="F102" s="11">
        <v>-30.1982301</v>
      </c>
      <c r="G102" s="11" t="s">
        <v>106</v>
      </c>
      <c r="H102" s="11" t="s">
        <v>104</v>
      </c>
      <c r="I102" s="11">
        <v>9.24</v>
      </c>
      <c r="J102" s="32">
        <f t="shared" si="14"/>
        <v>5</v>
      </c>
      <c r="K102" s="11">
        <v>10</v>
      </c>
      <c r="L102" s="32">
        <f t="shared" si="15"/>
        <v>5</v>
      </c>
      <c r="M102" s="12">
        <v>6.9444444444444441E-3</v>
      </c>
      <c r="N102" s="11">
        <v>6</v>
      </c>
      <c r="O102" s="11" t="str">
        <f t="shared" si="16"/>
        <v>DISTINTO</v>
      </c>
      <c r="P102" s="11" t="s">
        <v>105</v>
      </c>
      <c r="Q102" s="11" t="s">
        <v>22</v>
      </c>
      <c r="R102" s="11" t="s">
        <v>23</v>
      </c>
      <c r="S102" s="6"/>
      <c r="T102" s="6"/>
      <c r="U102" s="6"/>
      <c r="V102" s="6"/>
      <c r="W102" s="6"/>
      <c r="X102" s="6"/>
      <c r="Y102" s="6"/>
    </row>
    <row r="103" spans="1:25" ht="15.75" customHeight="1">
      <c r="A103" s="29" t="s">
        <v>18</v>
      </c>
      <c r="B103" s="29">
        <v>700010000</v>
      </c>
      <c r="C103" s="29">
        <v>7000215</v>
      </c>
      <c r="D103" s="29">
        <v>5460</v>
      </c>
      <c r="E103" s="29">
        <v>-68.679706300000007</v>
      </c>
      <c r="F103" s="29">
        <v>-30.181916999999999</v>
      </c>
      <c r="G103" s="29" t="s">
        <v>124</v>
      </c>
      <c r="H103" s="29" t="s">
        <v>104</v>
      </c>
      <c r="I103" s="29">
        <v>9.23</v>
      </c>
      <c r="J103" s="30">
        <f t="shared" si="14"/>
        <v>5</v>
      </c>
      <c r="K103" s="29">
        <v>12</v>
      </c>
      <c r="L103" s="30">
        <f t="shared" si="15"/>
        <v>6</v>
      </c>
      <c r="M103" s="31">
        <v>9.7222222222222224E-3</v>
      </c>
      <c r="N103" s="29">
        <v>6</v>
      </c>
      <c r="O103" s="29" t="str">
        <f t="shared" si="16"/>
        <v>INCONGRUENTE</v>
      </c>
      <c r="P103" s="29" t="s">
        <v>105</v>
      </c>
      <c r="Q103" s="29" t="s">
        <v>22</v>
      </c>
      <c r="R103" s="29" t="s">
        <v>23</v>
      </c>
      <c r="S103" s="6"/>
      <c r="T103" s="6"/>
      <c r="U103" s="6"/>
      <c r="V103" s="6"/>
      <c r="W103" s="6"/>
      <c r="X103" s="6"/>
      <c r="Y103" s="6"/>
    </row>
    <row r="104" spans="1:25" ht="15.75" customHeight="1">
      <c r="A104" s="13" t="s">
        <v>18</v>
      </c>
      <c r="B104" s="13">
        <v>700010800</v>
      </c>
      <c r="C104" s="13">
        <v>7000049</v>
      </c>
      <c r="D104" s="13">
        <v>5403</v>
      </c>
      <c r="E104" s="13">
        <v>-69.445978600000004</v>
      </c>
      <c r="F104" s="13">
        <v>-31.251883500000002</v>
      </c>
      <c r="G104" s="13" t="s">
        <v>125</v>
      </c>
      <c r="H104" s="13" t="s">
        <v>20</v>
      </c>
      <c r="I104" s="13">
        <v>93.1</v>
      </c>
      <c r="J104" s="13">
        <f t="shared" ref="J104:J128" si="17">IF(I104&lt;=4,1,IF(I104&lt;=10,2,IF(I104&lt;=20,3,IF(I104&lt;=40,4,IF(I104&lt;=80,5,6)))))</f>
        <v>6</v>
      </c>
      <c r="K104" s="13">
        <v>184</v>
      </c>
      <c r="L104" s="13">
        <f t="shared" ref="L104:L128" si="18">IF(K104&lt;=4,1,IF(K104&lt;=10,2,IF(K104&lt;=20,3,IF(K104&lt;=40,4,IF(K104&lt;=80,5,6)))))</f>
        <v>6</v>
      </c>
      <c r="M104" s="14">
        <v>0.10694444444444444</v>
      </c>
      <c r="N104" s="13">
        <v>6</v>
      </c>
      <c r="O104" s="13" t="str">
        <f t="shared" ref="O104:O128" si="19">IF(AVERAGE(J104,L104)=N104,"COINCIDE",IF(L104=N104,"INCONGRUENTE","DISTINTO"))</f>
        <v>COINCIDE</v>
      </c>
      <c r="P104" s="13" t="s">
        <v>90</v>
      </c>
      <c r="Q104" s="13" t="s">
        <v>22</v>
      </c>
      <c r="R104" s="13" t="s">
        <v>23</v>
      </c>
      <c r="S104" s="6"/>
      <c r="T104" s="6"/>
      <c r="U104" s="6"/>
      <c r="V104" s="6"/>
      <c r="W104" s="6"/>
      <c r="X104" s="6"/>
      <c r="Y104" s="6"/>
    </row>
    <row r="105" spans="1:25" ht="15.75" customHeight="1">
      <c r="A105" s="13" t="s">
        <v>26</v>
      </c>
      <c r="B105" s="13">
        <v>700044800</v>
      </c>
      <c r="C105" s="13">
        <v>7000050</v>
      </c>
      <c r="D105" s="13">
        <v>5403</v>
      </c>
      <c r="E105" s="13">
        <v>-69.493777300000005</v>
      </c>
      <c r="F105" s="13">
        <v>-31.054601900000002</v>
      </c>
      <c r="G105" s="13" t="s">
        <v>126</v>
      </c>
      <c r="H105" s="13" t="s">
        <v>20</v>
      </c>
      <c r="I105" s="13">
        <v>107</v>
      </c>
      <c r="J105" s="13">
        <f t="shared" si="17"/>
        <v>6</v>
      </c>
      <c r="K105" s="13">
        <v>208</v>
      </c>
      <c r="L105" s="13">
        <f t="shared" si="18"/>
        <v>6</v>
      </c>
      <c r="M105" s="14">
        <v>0.12013888888888889</v>
      </c>
      <c r="N105" s="13">
        <v>6</v>
      </c>
      <c r="O105" s="13" t="str">
        <f t="shared" si="19"/>
        <v>COINCIDE</v>
      </c>
      <c r="P105" s="13" t="s">
        <v>90</v>
      </c>
      <c r="Q105" s="13" t="s">
        <v>22</v>
      </c>
      <c r="R105" s="13" t="s">
        <v>23</v>
      </c>
      <c r="S105" s="6"/>
      <c r="T105" s="6"/>
      <c r="U105" s="6"/>
      <c r="V105" s="6"/>
      <c r="W105" s="6"/>
      <c r="X105" s="6"/>
      <c r="Y105" s="6"/>
    </row>
    <row r="106" spans="1:25" ht="15.75" customHeight="1">
      <c r="A106" s="13" t="s">
        <v>64</v>
      </c>
      <c r="B106" s="13">
        <v>700022300</v>
      </c>
      <c r="C106" s="13">
        <v>7050194</v>
      </c>
      <c r="D106" s="13">
        <v>5403</v>
      </c>
      <c r="E106" s="13">
        <v>-69.477174199999993</v>
      </c>
      <c r="F106" s="13">
        <v>-31.654692499999999</v>
      </c>
      <c r="G106" s="13" t="s">
        <v>93</v>
      </c>
      <c r="H106" s="13" t="s">
        <v>20</v>
      </c>
      <c r="I106" s="13">
        <v>91.2</v>
      </c>
      <c r="J106" s="13">
        <f t="shared" si="17"/>
        <v>6</v>
      </c>
      <c r="K106" s="13">
        <v>211</v>
      </c>
      <c r="L106" s="13">
        <f t="shared" si="18"/>
        <v>6</v>
      </c>
      <c r="M106" s="14">
        <v>0.12083333333333333</v>
      </c>
      <c r="N106" s="13">
        <v>6</v>
      </c>
      <c r="O106" s="13" t="str">
        <f t="shared" si="19"/>
        <v>COINCIDE</v>
      </c>
      <c r="P106" s="13" t="s">
        <v>90</v>
      </c>
      <c r="Q106" s="13" t="s">
        <v>22</v>
      </c>
      <c r="R106" s="13" t="s">
        <v>127</v>
      </c>
      <c r="S106" s="6"/>
      <c r="T106" s="6"/>
      <c r="U106" s="6"/>
      <c r="V106" s="6"/>
      <c r="W106" s="6"/>
      <c r="X106" s="6"/>
      <c r="Y106" s="6"/>
    </row>
    <row r="107" spans="1:25" ht="16.5" customHeight="1">
      <c r="A107" s="13" t="s">
        <v>40</v>
      </c>
      <c r="B107" s="13">
        <v>700056900</v>
      </c>
      <c r="C107" s="13" t="s">
        <v>128</v>
      </c>
      <c r="D107" s="13">
        <v>5403</v>
      </c>
      <c r="E107" s="13">
        <v>-69.476925199999997</v>
      </c>
      <c r="F107" s="13">
        <v>-31.653966700000002</v>
      </c>
      <c r="G107" s="13" t="s">
        <v>93</v>
      </c>
      <c r="H107" s="13" t="s">
        <v>20</v>
      </c>
      <c r="I107" s="13">
        <v>90</v>
      </c>
      <c r="J107" s="13">
        <f t="shared" si="17"/>
        <v>6</v>
      </c>
      <c r="K107" s="13">
        <v>211</v>
      </c>
      <c r="L107" s="13">
        <f t="shared" si="18"/>
        <v>6</v>
      </c>
      <c r="M107" s="14">
        <v>0.12083333333333333</v>
      </c>
      <c r="N107" s="13">
        <v>6</v>
      </c>
      <c r="O107" s="13" t="str">
        <f t="shared" si="19"/>
        <v>COINCIDE</v>
      </c>
      <c r="P107" s="13" t="s">
        <v>90</v>
      </c>
      <c r="Q107" s="13" t="s">
        <v>22</v>
      </c>
      <c r="R107" s="13" t="s">
        <v>127</v>
      </c>
      <c r="S107" s="6"/>
      <c r="T107" s="6"/>
      <c r="U107" s="6"/>
      <c r="V107" s="6"/>
      <c r="W107" s="6"/>
      <c r="X107" s="6"/>
      <c r="Y107" s="6"/>
    </row>
    <row r="108" spans="1:25" ht="15.75" customHeight="1">
      <c r="A108" s="13" t="s">
        <v>62</v>
      </c>
      <c r="B108" s="13">
        <v>700032100</v>
      </c>
      <c r="C108" s="13" t="s">
        <v>129</v>
      </c>
      <c r="D108" s="13">
        <v>5403</v>
      </c>
      <c r="E108" s="13">
        <v>-69.421893299999994</v>
      </c>
      <c r="F108" s="13">
        <v>-31.3331844</v>
      </c>
      <c r="G108" s="13" t="s">
        <v>130</v>
      </c>
      <c r="H108" s="13" t="s">
        <v>20</v>
      </c>
      <c r="I108" s="13">
        <v>88.2</v>
      </c>
      <c r="J108" s="13">
        <f t="shared" si="17"/>
        <v>6</v>
      </c>
      <c r="K108" s="13">
        <v>184</v>
      </c>
      <c r="L108" s="13">
        <f t="shared" si="18"/>
        <v>6</v>
      </c>
      <c r="M108" s="14">
        <v>0.10694444444444444</v>
      </c>
      <c r="N108" s="13">
        <v>6</v>
      </c>
      <c r="O108" s="13" t="str">
        <f t="shared" si="19"/>
        <v>COINCIDE</v>
      </c>
      <c r="P108" s="13" t="s">
        <v>90</v>
      </c>
      <c r="Q108" s="13" t="s">
        <v>22</v>
      </c>
      <c r="R108" s="13" t="s">
        <v>23</v>
      </c>
      <c r="S108" s="6"/>
      <c r="T108" s="6"/>
      <c r="U108" s="6"/>
      <c r="V108" s="6"/>
      <c r="W108" s="6"/>
      <c r="X108" s="6"/>
      <c r="Y108" s="6"/>
    </row>
    <row r="109" spans="1:25" ht="15.75" customHeight="1">
      <c r="A109" s="13" t="s">
        <v>18</v>
      </c>
      <c r="B109" s="13">
        <v>700060900</v>
      </c>
      <c r="C109" s="13">
        <v>7000052</v>
      </c>
      <c r="D109" s="13">
        <v>5400</v>
      </c>
      <c r="E109" s="13">
        <v>-68.540946399999996</v>
      </c>
      <c r="F109" s="13">
        <v>-31.5427748</v>
      </c>
      <c r="G109" s="13" t="s">
        <v>131</v>
      </c>
      <c r="H109" s="13" t="s">
        <v>20</v>
      </c>
      <c r="I109" s="13">
        <v>1.57</v>
      </c>
      <c r="J109" s="13">
        <f t="shared" si="17"/>
        <v>1</v>
      </c>
      <c r="K109" s="13">
        <v>3</v>
      </c>
      <c r="L109" s="13">
        <f t="shared" si="18"/>
        <v>1</v>
      </c>
      <c r="M109" s="14">
        <v>4.1666666666666666E-3</v>
      </c>
      <c r="N109" s="13">
        <v>1</v>
      </c>
      <c r="O109" s="13" t="str">
        <f t="shared" si="19"/>
        <v>COINCIDE</v>
      </c>
      <c r="P109" s="13" t="s">
        <v>132</v>
      </c>
      <c r="Q109" s="13" t="s">
        <v>22</v>
      </c>
      <c r="R109" s="13" t="s">
        <v>23</v>
      </c>
      <c r="S109" s="6"/>
      <c r="T109" s="6"/>
      <c r="U109" s="6"/>
      <c r="V109" s="6"/>
      <c r="W109" s="6"/>
      <c r="X109" s="6"/>
      <c r="Y109" s="6"/>
    </row>
    <row r="110" spans="1:25" ht="15.75" customHeight="1">
      <c r="A110" s="13" t="s">
        <v>42</v>
      </c>
      <c r="B110" s="13">
        <v>700030900</v>
      </c>
      <c r="C110" s="13">
        <v>7000053</v>
      </c>
      <c r="D110" s="13">
        <v>5400</v>
      </c>
      <c r="E110" s="13">
        <v>-68.533995899999994</v>
      </c>
      <c r="F110" s="13">
        <v>-31.527993599999999</v>
      </c>
      <c r="G110" s="13" t="s">
        <v>133</v>
      </c>
      <c r="H110" s="13" t="s">
        <v>20</v>
      </c>
      <c r="I110" s="13">
        <v>1.28</v>
      </c>
      <c r="J110" s="13">
        <f t="shared" si="17"/>
        <v>1</v>
      </c>
      <c r="K110" s="13">
        <v>2</v>
      </c>
      <c r="L110" s="13">
        <f t="shared" si="18"/>
        <v>1</v>
      </c>
      <c r="M110" s="14">
        <v>4.1666666666666666E-3</v>
      </c>
      <c r="N110" s="13">
        <v>1</v>
      </c>
      <c r="O110" s="13" t="str">
        <f t="shared" si="19"/>
        <v>COINCIDE</v>
      </c>
      <c r="P110" s="13" t="s">
        <v>132</v>
      </c>
      <c r="Q110" s="13" t="s">
        <v>22</v>
      </c>
      <c r="R110" s="13" t="s">
        <v>23</v>
      </c>
      <c r="S110" s="6"/>
      <c r="T110" s="6"/>
      <c r="U110" s="6"/>
      <c r="V110" s="6"/>
      <c r="W110" s="6"/>
      <c r="X110" s="6"/>
      <c r="Y110" s="6"/>
    </row>
    <row r="111" spans="1:25" ht="15.75" customHeight="1">
      <c r="A111" s="13" t="s">
        <v>64</v>
      </c>
      <c r="B111" s="13">
        <v>700061700</v>
      </c>
      <c r="C111" s="13">
        <v>7000054</v>
      </c>
      <c r="D111" s="13">
        <v>5400</v>
      </c>
      <c r="E111" s="13">
        <v>-68.522071299999993</v>
      </c>
      <c r="F111" s="13">
        <v>-31.538747000000001</v>
      </c>
      <c r="G111" s="13" t="s">
        <v>132</v>
      </c>
      <c r="H111" s="13" t="s">
        <v>20</v>
      </c>
      <c r="I111" s="13">
        <v>0.38</v>
      </c>
      <c r="J111" s="13">
        <f t="shared" si="17"/>
        <v>1</v>
      </c>
      <c r="K111" s="13">
        <v>0.8</v>
      </c>
      <c r="L111" s="13">
        <f t="shared" si="18"/>
        <v>1</v>
      </c>
      <c r="M111" s="14">
        <v>2.0833333333333333E-3</v>
      </c>
      <c r="N111" s="13">
        <v>1</v>
      </c>
      <c r="O111" s="13" t="str">
        <f t="shared" si="19"/>
        <v>COINCIDE</v>
      </c>
      <c r="P111" s="13" t="s">
        <v>132</v>
      </c>
      <c r="Q111" s="13" t="s">
        <v>22</v>
      </c>
      <c r="R111" s="13" t="s">
        <v>23</v>
      </c>
      <c r="S111" s="6"/>
      <c r="T111" s="6"/>
      <c r="U111" s="6"/>
      <c r="V111" s="6"/>
      <c r="W111" s="6"/>
      <c r="X111" s="6"/>
      <c r="Y111" s="6"/>
    </row>
    <row r="112" spans="1:25" ht="15.75" customHeight="1">
      <c r="A112" s="13" t="s">
        <v>18</v>
      </c>
      <c r="B112" s="13">
        <v>700060000</v>
      </c>
      <c r="C112" s="13">
        <v>7000055</v>
      </c>
      <c r="D112" s="13">
        <v>5400</v>
      </c>
      <c r="E112" s="13">
        <v>-68.524186799999995</v>
      </c>
      <c r="F112" s="13">
        <v>-31.526013599999999</v>
      </c>
      <c r="G112" s="13" t="s">
        <v>133</v>
      </c>
      <c r="H112" s="13" t="s">
        <v>20</v>
      </c>
      <c r="I112" s="13">
        <v>1.26</v>
      </c>
      <c r="J112" s="13">
        <f t="shared" si="17"/>
        <v>1</v>
      </c>
      <c r="K112" s="13">
        <v>2</v>
      </c>
      <c r="L112" s="13">
        <f t="shared" si="18"/>
        <v>1</v>
      </c>
      <c r="M112" s="14">
        <v>4.1666666666666666E-3</v>
      </c>
      <c r="N112" s="13">
        <v>1</v>
      </c>
      <c r="O112" s="13" t="str">
        <f t="shared" si="19"/>
        <v>COINCIDE</v>
      </c>
      <c r="P112" s="13" t="s">
        <v>132</v>
      </c>
      <c r="Q112" s="13" t="s">
        <v>22</v>
      </c>
      <c r="R112" s="13" t="s">
        <v>23</v>
      </c>
      <c r="S112" s="6"/>
      <c r="T112" s="6"/>
      <c r="U112" s="6"/>
      <c r="V112" s="6"/>
      <c r="W112" s="6"/>
      <c r="X112" s="6"/>
      <c r="Y112" s="6"/>
    </row>
    <row r="113" spans="1:25" ht="15.75" customHeight="1">
      <c r="A113" s="13" t="s">
        <v>18</v>
      </c>
      <c r="B113" s="13">
        <v>700054900</v>
      </c>
      <c r="C113" s="13">
        <v>7000056</v>
      </c>
      <c r="D113" s="13">
        <v>5400</v>
      </c>
      <c r="E113" s="13">
        <v>-68.532783100000003</v>
      </c>
      <c r="F113" s="13">
        <v>-31.552482300000001</v>
      </c>
      <c r="G113" s="13" t="s">
        <v>134</v>
      </c>
      <c r="H113" s="13" t="s">
        <v>20</v>
      </c>
      <c r="I113" s="13">
        <v>1.81</v>
      </c>
      <c r="J113" s="13">
        <f t="shared" si="17"/>
        <v>1</v>
      </c>
      <c r="K113" s="13">
        <v>3</v>
      </c>
      <c r="L113" s="13">
        <f t="shared" si="18"/>
        <v>1</v>
      </c>
      <c r="M113" s="14">
        <v>5.5555555555555558E-3</v>
      </c>
      <c r="N113" s="13">
        <v>1</v>
      </c>
      <c r="O113" s="13" t="str">
        <f t="shared" si="19"/>
        <v>COINCIDE</v>
      </c>
      <c r="P113" s="13" t="s">
        <v>132</v>
      </c>
      <c r="Q113" s="13" t="s">
        <v>22</v>
      </c>
      <c r="R113" s="13" t="s">
        <v>23</v>
      </c>
      <c r="S113" s="6"/>
      <c r="T113" s="6"/>
      <c r="U113" s="6"/>
      <c r="V113" s="6"/>
      <c r="W113" s="6"/>
      <c r="X113" s="6"/>
      <c r="Y113" s="6"/>
    </row>
    <row r="114" spans="1:25" ht="15.75" customHeight="1">
      <c r="A114" s="13" t="s">
        <v>18</v>
      </c>
      <c r="B114" s="13">
        <v>700048000</v>
      </c>
      <c r="C114" s="13">
        <v>7000057</v>
      </c>
      <c r="D114" s="13">
        <v>5400</v>
      </c>
      <c r="E114" s="13">
        <v>-68.531252699999996</v>
      </c>
      <c r="F114" s="13">
        <v>-31.5343871</v>
      </c>
      <c r="G114" s="13" t="s">
        <v>132</v>
      </c>
      <c r="H114" s="13" t="s">
        <v>20</v>
      </c>
      <c r="I114" s="13">
        <v>0.68</v>
      </c>
      <c r="J114" s="13">
        <f t="shared" si="17"/>
        <v>1</v>
      </c>
      <c r="K114" s="13">
        <v>0.84</v>
      </c>
      <c r="L114" s="13">
        <f t="shared" si="18"/>
        <v>1</v>
      </c>
      <c r="M114" s="14">
        <v>2.0833333333333333E-3</v>
      </c>
      <c r="N114" s="13">
        <v>1</v>
      </c>
      <c r="O114" s="13" t="str">
        <f t="shared" si="19"/>
        <v>COINCIDE</v>
      </c>
      <c r="P114" s="13" t="s">
        <v>132</v>
      </c>
      <c r="Q114" s="13" t="s">
        <v>22</v>
      </c>
      <c r="R114" s="13" t="s">
        <v>23</v>
      </c>
      <c r="S114" s="6"/>
      <c r="T114" s="6"/>
      <c r="U114" s="6"/>
      <c r="V114" s="6"/>
      <c r="W114" s="6"/>
      <c r="X114" s="6"/>
      <c r="Y114" s="6"/>
    </row>
    <row r="115" spans="1:25" ht="15.75" customHeight="1">
      <c r="A115" s="13" t="s">
        <v>136</v>
      </c>
      <c r="B115" s="13">
        <v>700060500</v>
      </c>
      <c r="C115" s="13">
        <v>7000058</v>
      </c>
      <c r="D115" s="13">
        <v>5400</v>
      </c>
      <c r="E115" s="13">
        <v>-68.511332100000004</v>
      </c>
      <c r="F115" s="13">
        <v>-31.540693099999999</v>
      </c>
      <c r="G115" s="13" t="s">
        <v>132</v>
      </c>
      <c r="H115" s="13" t="s">
        <v>20</v>
      </c>
      <c r="I115" s="13">
        <v>1.38</v>
      </c>
      <c r="J115" s="13">
        <f t="shared" si="17"/>
        <v>1</v>
      </c>
      <c r="K115" s="13">
        <v>3</v>
      </c>
      <c r="L115" s="13">
        <f t="shared" si="18"/>
        <v>1</v>
      </c>
      <c r="M115" s="14">
        <v>4.8611111111111112E-3</v>
      </c>
      <c r="N115" s="13">
        <v>1</v>
      </c>
      <c r="O115" s="13" t="str">
        <f t="shared" si="19"/>
        <v>COINCIDE</v>
      </c>
      <c r="P115" s="13" t="s">
        <v>132</v>
      </c>
      <c r="Q115" s="13" t="s">
        <v>22</v>
      </c>
      <c r="R115" s="13" t="s">
        <v>23</v>
      </c>
      <c r="S115" s="6"/>
      <c r="T115" s="6"/>
      <c r="U115" s="6"/>
      <c r="V115" s="6"/>
      <c r="W115" s="6"/>
      <c r="X115" s="6"/>
      <c r="Y115" s="6"/>
    </row>
    <row r="116" spans="1:25" ht="15.75" customHeight="1">
      <c r="A116" s="13" t="s">
        <v>136</v>
      </c>
      <c r="B116" s="13">
        <v>700025400</v>
      </c>
      <c r="C116" s="13">
        <v>7000059</v>
      </c>
      <c r="D116" s="13">
        <v>5400</v>
      </c>
      <c r="E116" s="13">
        <v>-68.532176300000003</v>
      </c>
      <c r="F116" s="13">
        <v>-31.535201900000001</v>
      </c>
      <c r="G116" s="13" t="s">
        <v>132</v>
      </c>
      <c r="H116" s="13" t="s">
        <v>20</v>
      </c>
      <c r="I116" s="13">
        <v>0.63</v>
      </c>
      <c r="J116" s="13">
        <f t="shared" si="17"/>
        <v>1</v>
      </c>
      <c r="K116" s="13">
        <v>0.98</v>
      </c>
      <c r="L116" s="13">
        <f t="shared" si="18"/>
        <v>1</v>
      </c>
      <c r="M116" s="14">
        <v>2.7777777777777779E-3</v>
      </c>
      <c r="N116" s="13">
        <v>1</v>
      </c>
      <c r="O116" s="13" t="str">
        <f t="shared" si="19"/>
        <v>COINCIDE</v>
      </c>
      <c r="P116" s="13" t="s">
        <v>132</v>
      </c>
      <c r="Q116" s="13" t="s">
        <v>22</v>
      </c>
      <c r="R116" s="13" t="s">
        <v>23</v>
      </c>
      <c r="S116" s="6"/>
      <c r="T116" s="6"/>
      <c r="U116" s="6"/>
      <c r="V116" s="6"/>
      <c r="W116" s="6"/>
      <c r="X116" s="6"/>
      <c r="Y116" s="6"/>
    </row>
    <row r="117" spans="1:25" ht="15.75" customHeight="1">
      <c r="A117" s="13" t="s">
        <v>18</v>
      </c>
      <c r="B117" s="13">
        <v>700042400</v>
      </c>
      <c r="C117" s="13">
        <v>7000060</v>
      </c>
      <c r="D117" s="13">
        <v>5400</v>
      </c>
      <c r="E117" s="13">
        <v>-68.517244599999998</v>
      </c>
      <c r="F117" s="13">
        <v>-31.532230299999998</v>
      </c>
      <c r="G117" s="13" t="s">
        <v>132</v>
      </c>
      <c r="H117" s="13" t="s">
        <v>20</v>
      </c>
      <c r="I117" s="13">
        <v>0.97</v>
      </c>
      <c r="J117" s="13">
        <f t="shared" si="17"/>
        <v>1</v>
      </c>
      <c r="K117" s="13">
        <v>2</v>
      </c>
      <c r="L117" s="13">
        <f t="shared" si="18"/>
        <v>1</v>
      </c>
      <c r="M117" s="14">
        <v>4.1666666666666666E-3</v>
      </c>
      <c r="N117" s="13">
        <v>1</v>
      </c>
      <c r="O117" s="13" t="str">
        <f t="shared" si="19"/>
        <v>COINCIDE</v>
      </c>
      <c r="P117" s="13" t="s">
        <v>132</v>
      </c>
      <c r="Q117" s="13" t="s">
        <v>22</v>
      </c>
      <c r="R117" s="13" t="s">
        <v>23</v>
      </c>
      <c r="S117" s="6"/>
      <c r="T117" s="6"/>
      <c r="U117" s="6"/>
      <c r="V117" s="6"/>
      <c r="W117" s="6"/>
      <c r="X117" s="6"/>
      <c r="Y117" s="6"/>
    </row>
    <row r="118" spans="1:25" ht="15.75" customHeight="1">
      <c r="A118" s="13" t="s">
        <v>62</v>
      </c>
      <c r="B118" s="13">
        <v>700026400</v>
      </c>
      <c r="C118" s="13">
        <v>7000061</v>
      </c>
      <c r="D118" s="13">
        <v>5400</v>
      </c>
      <c r="E118" s="13">
        <v>-68.530460899999994</v>
      </c>
      <c r="F118" s="13">
        <v>-31.537469999999999</v>
      </c>
      <c r="G118" s="13" t="s">
        <v>132</v>
      </c>
      <c r="H118" s="13" t="s">
        <v>20</v>
      </c>
      <c r="I118" s="13">
        <v>0.54</v>
      </c>
      <c r="J118" s="13">
        <f t="shared" si="17"/>
        <v>1</v>
      </c>
      <c r="K118" s="13">
        <v>0.54</v>
      </c>
      <c r="L118" s="13">
        <f t="shared" si="18"/>
        <v>1</v>
      </c>
      <c r="M118" s="14">
        <v>1.3888888888888889E-3</v>
      </c>
      <c r="N118" s="13">
        <v>1</v>
      </c>
      <c r="O118" s="13" t="str">
        <f t="shared" si="19"/>
        <v>COINCIDE</v>
      </c>
      <c r="P118" s="13" t="s">
        <v>132</v>
      </c>
      <c r="Q118" s="13" t="s">
        <v>22</v>
      </c>
      <c r="R118" s="13" t="s">
        <v>137</v>
      </c>
      <c r="S118" s="6"/>
      <c r="T118" s="6"/>
      <c r="U118" s="6"/>
      <c r="V118" s="6"/>
      <c r="W118" s="6"/>
      <c r="X118" s="6"/>
      <c r="Y118" s="6"/>
    </row>
    <row r="119" spans="1:25" ht="15.75" customHeight="1">
      <c r="A119" s="17" t="s">
        <v>18</v>
      </c>
      <c r="B119" s="17">
        <v>700042000</v>
      </c>
      <c r="C119" s="17">
        <v>7000062</v>
      </c>
      <c r="D119" s="17">
        <v>5400</v>
      </c>
      <c r="E119" s="17">
        <v>-68.523944060000005</v>
      </c>
      <c r="F119" s="17">
        <v>-31.523960899999999</v>
      </c>
      <c r="G119" s="17" t="s">
        <v>132</v>
      </c>
      <c r="H119" s="17" t="s">
        <v>20</v>
      </c>
      <c r="I119" s="17">
        <v>1.48</v>
      </c>
      <c r="J119" s="17">
        <f t="shared" si="17"/>
        <v>1</v>
      </c>
      <c r="K119" s="17">
        <v>2</v>
      </c>
      <c r="L119" s="17">
        <f t="shared" si="18"/>
        <v>1</v>
      </c>
      <c r="M119" s="18">
        <v>4.1666666666666666E-3</v>
      </c>
      <c r="N119" s="17">
        <v>1</v>
      </c>
      <c r="O119" s="17" t="str">
        <f t="shared" si="19"/>
        <v>COINCIDE</v>
      </c>
      <c r="P119" s="17" t="s">
        <v>132</v>
      </c>
      <c r="Q119" s="17" t="s">
        <v>22</v>
      </c>
      <c r="R119" s="17" t="s">
        <v>23</v>
      </c>
      <c r="S119" s="6"/>
      <c r="T119" s="6"/>
      <c r="U119" s="6"/>
      <c r="V119" s="6"/>
      <c r="W119" s="6"/>
      <c r="X119" s="6"/>
      <c r="Y119" s="6"/>
    </row>
    <row r="120" spans="1:25" ht="15.75" customHeight="1">
      <c r="A120" s="13" t="s">
        <v>18</v>
      </c>
      <c r="B120" s="13">
        <v>700047500</v>
      </c>
      <c r="C120" s="13">
        <v>7000063</v>
      </c>
      <c r="D120" s="13">
        <v>5400</v>
      </c>
      <c r="E120" s="13">
        <v>-68.515078500000001</v>
      </c>
      <c r="F120" s="13">
        <v>-31.539381200000001</v>
      </c>
      <c r="G120" s="13" t="s">
        <v>133</v>
      </c>
      <c r="H120" s="13" t="s">
        <v>20</v>
      </c>
      <c r="I120" s="13">
        <v>1.77</v>
      </c>
      <c r="J120" s="13">
        <f t="shared" si="17"/>
        <v>1</v>
      </c>
      <c r="K120" s="13">
        <v>3</v>
      </c>
      <c r="L120" s="13">
        <f t="shared" si="18"/>
        <v>1</v>
      </c>
      <c r="M120" s="14">
        <v>5.5555555555555558E-3</v>
      </c>
      <c r="N120" s="13">
        <v>1</v>
      </c>
      <c r="O120" s="13" t="str">
        <f t="shared" si="19"/>
        <v>COINCIDE</v>
      </c>
      <c r="P120" s="13" t="s">
        <v>132</v>
      </c>
      <c r="Q120" s="13" t="s">
        <v>22</v>
      </c>
      <c r="R120" s="13" t="s">
        <v>23</v>
      </c>
      <c r="S120" s="6"/>
      <c r="T120" s="6"/>
      <c r="U120" s="6"/>
      <c r="V120" s="6"/>
      <c r="W120" s="6"/>
      <c r="X120" s="6"/>
      <c r="Y120" s="6"/>
    </row>
    <row r="121" spans="1:25" ht="15.75" customHeight="1">
      <c r="A121" s="17" t="s">
        <v>62</v>
      </c>
      <c r="B121" s="17">
        <v>700027600</v>
      </c>
      <c r="C121" s="17">
        <v>7000064</v>
      </c>
      <c r="D121" s="17">
        <v>5400</v>
      </c>
      <c r="E121" s="17">
        <v>-68.5215259</v>
      </c>
      <c r="F121" s="17">
        <v>-31.544732100000001</v>
      </c>
      <c r="G121" s="17" t="s">
        <v>132</v>
      </c>
      <c r="H121" s="17" t="s">
        <v>20</v>
      </c>
      <c r="I121" s="17">
        <v>0.92100000000000004</v>
      </c>
      <c r="J121" s="17">
        <f t="shared" si="17"/>
        <v>1</v>
      </c>
      <c r="K121" s="17">
        <v>1</v>
      </c>
      <c r="L121" s="17">
        <f t="shared" si="18"/>
        <v>1</v>
      </c>
      <c r="M121" s="18">
        <v>3.472222222222222E-3</v>
      </c>
      <c r="N121" s="17">
        <v>1</v>
      </c>
      <c r="O121" s="17" t="str">
        <f t="shared" si="19"/>
        <v>COINCIDE</v>
      </c>
      <c r="P121" s="17" t="s">
        <v>132</v>
      </c>
      <c r="Q121" s="17" t="s">
        <v>22</v>
      </c>
      <c r="R121" s="17" t="s">
        <v>23</v>
      </c>
      <c r="S121" s="6"/>
      <c r="T121" s="6"/>
      <c r="U121" s="6"/>
      <c r="V121" s="6"/>
      <c r="W121" s="6"/>
      <c r="X121" s="6"/>
      <c r="Y121" s="6"/>
    </row>
    <row r="122" spans="1:25" ht="15.75" customHeight="1">
      <c r="A122" s="13" t="s">
        <v>62</v>
      </c>
      <c r="B122" s="13">
        <v>700026700</v>
      </c>
      <c r="C122" s="13">
        <v>7000065</v>
      </c>
      <c r="D122" s="13">
        <v>5400</v>
      </c>
      <c r="E122" s="13">
        <v>-68.530472099999997</v>
      </c>
      <c r="F122" s="13">
        <v>-31.537118499999998</v>
      </c>
      <c r="G122" s="13" t="s">
        <v>132</v>
      </c>
      <c r="H122" s="13" t="s">
        <v>20</v>
      </c>
      <c r="I122" s="13">
        <v>0.45</v>
      </c>
      <c r="J122" s="13">
        <f t="shared" si="17"/>
        <v>1</v>
      </c>
      <c r="K122" s="13">
        <v>0.5</v>
      </c>
      <c r="L122" s="13">
        <f t="shared" si="18"/>
        <v>1</v>
      </c>
      <c r="M122" s="14">
        <v>6.9444444444444447E-4</v>
      </c>
      <c r="N122" s="13">
        <v>1</v>
      </c>
      <c r="O122" s="13" t="str">
        <f t="shared" si="19"/>
        <v>COINCIDE</v>
      </c>
      <c r="P122" s="13" t="s">
        <v>132</v>
      </c>
      <c r="Q122" s="13" t="s">
        <v>22</v>
      </c>
      <c r="R122" s="13" t="s">
        <v>138</v>
      </c>
      <c r="S122" s="6"/>
      <c r="T122" s="6"/>
      <c r="U122" s="6"/>
      <c r="V122" s="6"/>
      <c r="W122" s="6"/>
      <c r="X122" s="6"/>
      <c r="Y122" s="6"/>
    </row>
    <row r="123" spans="1:25" ht="15.75" customHeight="1">
      <c r="A123" s="13" t="s">
        <v>62</v>
      </c>
      <c r="B123" s="13">
        <v>700061600</v>
      </c>
      <c r="C123" s="13">
        <v>7000066</v>
      </c>
      <c r="D123" s="13">
        <v>5400</v>
      </c>
      <c r="E123" s="13">
        <v>-68.537624800000003</v>
      </c>
      <c r="F123" s="13">
        <v>-31.541632100000001</v>
      </c>
      <c r="G123" s="13" t="s">
        <v>132</v>
      </c>
      <c r="H123" s="13" t="s">
        <v>20</v>
      </c>
      <c r="I123" s="13">
        <v>1.25</v>
      </c>
      <c r="J123" s="13">
        <f t="shared" si="17"/>
        <v>1</v>
      </c>
      <c r="K123" s="13">
        <v>2</v>
      </c>
      <c r="L123" s="13">
        <f t="shared" si="18"/>
        <v>1</v>
      </c>
      <c r="M123" s="14">
        <v>4.1666666666666666E-3</v>
      </c>
      <c r="N123" s="13">
        <v>1</v>
      </c>
      <c r="O123" s="13" t="str">
        <f t="shared" si="19"/>
        <v>COINCIDE</v>
      </c>
      <c r="P123" s="13" t="s">
        <v>132</v>
      </c>
      <c r="Q123" s="13" t="s">
        <v>22</v>
      </c>
      <c r="R123" s="13" t="s">
        <v>23</v>
      </c>
      <c r="S123" s="6"/>
      <c r="T123" s="6"/>
      <c r="U123" s="6"/>
      <c r="V123" s="6"/>
      <c r="W123" s="6"/>
      <c r="X123" s="6"/>
      <c r="Y123" s="6"/>
    </row>
    <row r="124" spans="1:25" ht="15.75" customHeight="1">
      <c r="A124" s="13" t="s">
        <v>18</v>
      </c>
      <c r="B124" s="13">
        <v>700002500</v>
      </c>
      <c r="C124" s="13">
        <v>7000086</v>
      </c>
      <c r="D124" s="13">
        <v>5400</v>
      </c>
      <c r="E124" s="13">
        <v>-68.533887199999995</v>
      </c>
      <c r="F124" s="13">
        <v>-31.519924499999998</v>
      </c>
      <c r="G124" s="13" t="s">
        <v>133</v>
      </c>
      <c r="H124" s="13" t="s">
        <v>20</v>
      </c>
      <c r="I124" s="13">
        <v>2.08</v>
      </c>
      <c r="J124" s="13">
        <f t="shared" si="17"/>
        <v>1</v>
      </c>
      <c r="K124" s="13">
        <v>3</v>
      </c>
      <c r="L124" s="13">
        <f t="shared" si="18"/>
        <v>1</v>
      </c>
      <c r="M124" s="14">
        <v>4.8611111111111112E-3</v>
      </c>
      <c r="N124" s="13">
        <v>1</v>
      </c>
      <c r="O124" s="13" t="str">
        <f t="shared" si="19"/>
        <v>COINCIDE</v>
      </c>
      <c r="P124" s="13" t="s">
        <v>132</v>
      </c>
      <c r="Q124" s="13" t="s">
        <v>22</v>
      </c>
      <c r="R124" s="13" t="s">
        <v>23</v>
      </c>
      <c r="S124" s="6"/>
      <c r="T124" s="6"/>
      <c r="U124" s="6"/>
      <c r="V124" s="6"/>
      <c r="W124" s="6"/>
      <c r="X124" s="6"/>
      <c r="Y124" s="6"/>
    </row>
    <row r="125" spans="1:25" ht="14.25" customHeight="1">
      <c r="A125" s="13" t="s">
        <v>139</v>
      </c>
      <c r="B125" s="13">
        <v>700060300</v>
      </c>
      <c r="C125" s="13">
        <v>7000088</v>
      </c>
      <c r="D125" s="13">
        <v>5400</v>
      </c>
      <c r="E125" s="13">
        <v>-68.513014600000005</v>
      </c>
      <c r="F125" s="13">
        <v>-31.539556699999999</v>
      </c>
      <c r="G125" s="13" t="s">
        <v>132</v>
      </c>
      <c r="H125" s="13" t="s">
        <v>20</v>
      </c>
      <c r="I125" s="13">
        <v>1.19</v>
      </c>
      <c r="J125" s="13">
        <f t="shared" si="17"/>
        <v>1</v>
      </c>
      <c r="K125" s="13">
        <v>2</v>
      </c>
      <c r="L125" s="13">
        <f t="shared" si="18"/>
        <v>1</v>
      </c>
      <c r="M125" s="14">
        <v>4.8611111111111112E-3</v>
      </c>
      <c r="N125" s="13">
        <v>1</v>
      </c>
      <c r="O125" s="13" t="str">
        <f t="shared" si="19"/>
        <v>COINCIDE</v>
      </c>
      <c r="P125" s="13" t="s">
        <v>132</v>
      </c>
      <c r="Q125" s="13" t="s">
        <v>22</v>
      </c>
      <c r="R125" s="13" t="s">
        <v>23</v>
      </c>
      <c r="S125" s="6"/>
      <c r="T125" s="6"/>
      <c r="U125" s="6"/>
      <c r="V125" s="6"/>
      <c r="W125" s="6"/>
      <c r="X125" s="6"/>
      <c r="Y125" s="6"/>
    </row>
    <row r="126" spans="1:25" ht="15.75" customHeight="1">
      <c r="A126" s="13" t="s">
        <v>40</v>
      </c>
      <c r="B126" s="13">
        <v>700045800</v>
      </c>
      <c r="C126" s="13">
        <v>7000089</v>
      </c>
      <c r="D126" s="13">
        <v>5400</v>
      </c>
      <c r="E126" s="13">
        <v>-68.511529100000004</v>
      </c>
      <c r="F126" s="13">
        <v>-31.545538499999999</v>
      </c>
      <c r="G126" s="13" t="s">
        <v>134</v>
      </c>
      <c r="H126" s="13" t="s">
        <v>20</v>
      </c>
      <c r="I126" s="13">
        <v>1.59</v>
      </c>
      <c r="J126" s="13">
        <f t="shared" si="17"/>
        <v>1</v>
      </c>
      <c r="K126" s="13">
        <v>2</v>
      </c>
      <c r="L126" s="13">
        <f t="shared" si="18"/>
        <v>1</v>
      </c>
      <c r="M126" s="14">
        <v>5.5555555555555558E-3</v>
      </c>
      <c r="N126" s="13">
        <v>1</v>
      </c>
      <c r="O126" s="13" t="str">
        <f t="shared" si="19"/>
        <v>COINCIDE</v>
      </c>
      <c r="P126" s="13" t="s">
        <v>132</v>
      </c>
      <c r="Q126" s="13" t="s">
        <v>22</v>
      </c>
      <c r="R126" s="13" t="s">
        <v>23</v>
      </c>
      <c r="S126" s="6"/>
      <c r="T126" s="6"/>
      <c r="U126" s="6"/>
      <c r="V126" s="6"/>
      <c r="W126" s="6"/>
      <c r="X126" s="6"/>
      <c r="Y126" s="6"/>
    </row>
    <row r="127" spans="1:25" ht="15.75" customHeight="1">
      <c r="A127" s="13" t="s">
        <v>40</v>
      </c>
      <c r="B127" s="13">
        <v>700026500</v>
      </c>
      <c r="C127" s="13">
        <v>7000090</v>
      </c>
      <c r="D127" s="13">
        <v>5400</v>
      </c>
      <c r="E127" s="13">
        <v>-68.528219300000003</v>
      </c>
      <c r="F127" s="13">
        <v>-31.534537799999999</v>
      </c>
      <c r="G127" s="13" t="s">
        <v>132</v>
      </c>
      <c r="H127" s="13" t="s">
        <v>20</v>
      </c>
      <c r="I127" s="13">
        <v>0.41</v>
      </c>
      <c r="J127" s="13">
        <f t="shared" si="17"/>
        <v>1</v>
      </c>
      <c r="K127" s="13">
        <v>0.95</v>
      </c>
      <c r="L127" s="13">
        <f t="shared" si="18"/>
        <v>1</v>
      </c>
      <c r="M127" s="14">
        <v>2.0833333333333333E-3</v>
      </c>
      <c r="N127" s="13">
        <v>1</v>
      </c>
      <c r="O127" s="13" t="str">
        <f t="shared" si="19"/>
        <v>COINCIDE</v>
      </c>
      <c r="P127" s="13" t="s">
        <v>132</v>
      </c>
      <c r="Q127" s="13" t="s">
        <v>22</v>
      </c>
      <c r="R127" s="13" t="s">
        <v>23</v>
      </c>
      <c r="S127" s="6"/>
      <c r="T127" s="6"/>
      <c r="U127" s="6"/>
      <c r="V127" s="6"/>
      <c r="W127" s="6"/>
      <c r="X127" s="6"/>
      <c r="Y127" s="6"/>
    </row>
    <row r="128" spans="1:25" ht="15.75" customHeight="1">
      <c r="A128" s="13" t="s">
        <v>42</v>
      </c>
      <c r="B128" s="13">
        <v>700010600</v>
      </c>
      <c r="C128" s="13">
        <v>7000091</v>
      </c>
      <c r="D128" s="13">
        <v>5400</v>
      </c>
      <c r="E128" s="13">
        <v>-68.516489399999998</v>
      </c>
      <c r="F128" s="13">
        <v>-31.531783399999998</v>
      </c>
      <c r="G128" s="13" t="s">
        <v>132</v>
      </c>
      <c r="H128" s="13" t="s">
        <v>20</v>
      </c>
      <c r="I128" s="13">
        <v>0.95</v>
      </c>
      <c r="J128" s="13">
        <f t="shared" si="17"/>
        <v>1</v>
      </c>
      <c r="K128" s="13">
        <v>2</v>
      </c>
      <c r="L128" s="13">
        <f t="shared" si="18"/>
        <v>1</v>
      </c>
      <c r="M128" s="14">
        <v>4.1666666666666666E-3</v>
      </c>
      <c r="N128" s="13">
        <v>1</v>
      </c>
      <c r="O128" s="13" t="str">
        <f t="shared" si="19"/>
        <v>COINCIDE</v>
      </c>
      <c r="P128" s="13" t="s">
        <v>132</v>
      </c>
      <c r="Q128" s="13" t="s">
        <v>22</v>
      </c>
      <c r="R128" s="13" t="s">
        <v>23</v>
      </c>
      <c r="S128" s="6"/>
      <c r="T128" s="6"/>
      <c r="U128" s="6"/>
      <c r="V128" s="6"/>
      <c r="W128" s="6"/>
      <c r="X128" s="6"/>
      <c r="Y128" s="6"/>
    </row>
    <row r="129" spans="1:25" ht="15.75" customHeight="1">
      <c r="A129" s="13" t="s">
        <v>18</v>
      </c>
      <c r="B129" s="13">
        <v>700007200</v>
      </c>
      <c r="C129" s="13">
        <v>7000174</v>
      </c>
      <c r="D129" s="13">
        <v>5467</v>
      </c>
      <c r="E129" s="13">
        <v>-69.291403299999999</v>
      </c>
      <c r="F129" s="13">
        <v>-30.031471</v>
      </c>
      <c r="G129" s="13" t="s">
        <v>140</v>
      </c>
      <c r="H129" s="13" t="s">
        <v>20</v>
      </c>
      <c r="I129" s="13">
        <v>183</v>
      </c>
      <c r="J129" s="13">
        <v>6</v>
      </c>
      <c r="K129" s="13">
        <v>230</v>
      </c>
      <c r="L129" s="13">
        <v>6</v>
      </c>
      <c r="M129" s="14">
        <v>0.12916666666666668</v>
      </c>
      <c r="N129" s="13">
        <v>7</v>
      </c>
      <c r="O129" s="13" t="str">
        <f>IF(AVERAGE(J129,L129)=N129,"COINCIDE",IF(L129=N129,"INCONGRUENTE",IF(N129=7,"COINCIDE","DISTINTO")))</f>
        <v>COINCIDE</v>
      </c>
      <c r="P129" s="13" t="s">
        <v>141</v>
      </c>
      <c r="Q129" s="13" t="s">
        <v>22</v>
      </c>
      <c r="R129" s="13" t="s">
        <v>142</v>
      </c>
      <c r="S129" s="6"/>
      <c r="T129" s="6"/>
      <c r="U129" s="6"/>
      <c r="V129" s="6"/>
      <c r="W129" s="6"/>
      <c r="X129" s="6"/>
      <c r="Y129" s="6"/>
    </row>
    <row r="130" spans="1:25" ht="15.75" customHeight="1">
      <c r="A130" s="13" t="s">
        <v>18</v>
      </c>
      <c r="B130" s="13">
        <v>700007100</v>
      </c>
      <c r="C130" s="13">
        <v>7000175</v>
      </c>
      <c r="D130" s="13">
        <v>5467</v>
      </c>
      <c r="E130" s="13">
        <v>-69.173390900000001</v>
      </c>
      <c r="F130" s="13">
        <v>-30.0544324</v>
      </c>
      <c r="G130" s="13" t="s">
        <v>143</v>
      </c>
      <c r="H130" s="13" t="s">
        <v>20</v>
      </c>
      <c r="I130" s="13">
        <v>176</v>
      </c>
      <c r="J130" s="13">
        <f t="shared" ref="J130:J145" si="20">IF(I130&lt;=4,1,IF(I130&lt;=10,2,IF(I130&lt;=20,3,IF(I130&lt;=40,4,IF(I130&lt;=80,5,6)))))</f>
        <v>6</v>
      </c>
      <c r="K130" s="13">
        <v>217</v>
      </c>
      <c r="L130" s="13">
        <f t="shared" ref="L130:L145" si="21">IF(K130&lt;=4,1,IF(K130&lt;=10,2,IF(K130&lt;=20,3,IF(K130&lt;=40,4,IF(K130&lt;=80,5,6)))))</f>
        <v>6</v>
      </c>
      <c r="M130" s="14">
        <v>0.11875000000000001</v>
      </c>
      <c r="N130" s="13">
        <v>6</v>
      </c>
      <c r="O130" s="13" t="str">
        <f>IF(AVERAGE(J130,L130)=N130,"COINCIDE",IF(L130=N130,"INCONGRUENTE","DISTINTO"))</f>
        <v>COINCIDE</v>
      </c>
      <c r="P130" s="13" t="s">
        <v>141</v>
      </c>
      <c r="Q130" s="13" t="s">
        <v>22</v>
      </c>
      <c r="R130" s="13" t="s">
        <v>23</v>
      </c>
      <c r="S130" s="6"/>
      <c r="T130" s="6"/>
      <c r="U130" s="6"/>
      <c r="V130" s="6"/>
      <c r="W130" s="6"/>
      <c r="X130" s="6"/>
      <c r="Y130" s="6"/>
    </row>
    <row r="131" spans="1:25" ht="15.75" customHeight="1">
      <c r="A131" s="13" t="s">
        <v>26</v>
      </c>
      <c r="B131" s="13">
        <v>700038900</v>
      </c>
      <c r="C131" s="13">
        <v>7000177</v>
      </c>
      <c r="D131" s="13">
        <v>5467</v>
      </c>
      <c r="E131" s="13">
        <v>-69.460440000000006</v>
      </c>
      <c r="F131" s="13">
        <v>-30.506699999999999</v>
      </c>
      <c r="G131" s="13" t="s">
        <v>144</v>
      </c>
      <c r="H131" s="13" t="s">
        <v>20</v>
      </c>
      <c r="I131" s="13">
        <v>146</v>
      </c>
      <c r="J131" s="13">
        <f t="shared" si="20"/>
        <v>6</v>
      </c>
      <c r="K131" s="13">
        <v>190</v>
      </c>
      <c r="L131" s="13">
        <f t="shared" si="21"/>
        <v>6</v>
      </c>
      <c r="M131" s="14">
        <v>0.1388888888888889</v>
      </c>
      <c r="N131" s="13">
        <v>7</v>
      </c>
      <c r="O131" s="13" t="str">
        <f>IF(AVERAGE(J131,L131)=N131,"COINCIDE",IF(L131=N131,"INCONGRUENTE",IF(N131=7,"COINCIDE","DISTINTO")))</f>
        <v>COINCIDE</v>
      </c>
      <c r="P131" s="13" t="s">
        <v>141</v>
      </c>
      <c r="Q131" s="13" t="s">
        <v>22</v>
      </c>
      <c r="R131" s="13" t="s">
        <v>23</v>
      </c>
      <c r="S131" s="6"/>
      <c r="T131" s="6"/>
      <c r="U131" s="6"/>
      <c r="V131" s="6"/>
      <c r="W131" s="6"/>
      <c r="X131" s="6"/>
      <c r="Y131" s="6"/>
    </row>
    <row r="132" spans="1:25" ht="15.75" customHeight="1">
      <c r="A132" s="13" t="s">
        <v>18</v>
      </c>
      <c r="B132" s="13">
        <v>700006600</v>
      </c>
      <c r="C132" s="13">
        <v>7000178</v>
      </c>
      <c r="D132" s="13">
        <v>5467</v>
      </c>
      <c r="E132" s="13">
        <v>-69.240161599999993</v>
      </c>
      <c r="F132" s="13">
        <v>-30.4323312</v>
      </c>
      <c r="G132" s="13" t="s">
        <v>145</v>
      </c>
      <c r="H132" s="13" t="s">
        <v>20</v>
      </c>
      <c r="I132" s="13">
        <v>141</v>
      </c>
      <c r="J132" s="13">
        <f t="shared" si="20"/>
        <v>6</v>
      </c>
      <c r="K132" s="13">
        <v>172</v>
      </c>
      <c r="L132" s="13">
        <f t="shared" si="21"/>
        <v>6</v>
      </c>
      <c r="M132" s="14">
        <v>9.5138888888888884E-2</v>
      </c>
      <c r="N132" s="13">
        <v>6</v>
      </c>
      <c r="O132" s="13" t="str">
        <f t="shared" ref="O132:O139" si="22">IF(AVERAGE(J132,L132)=N132,"COINCIDE",IF(L132=N132,"INCONGRUENTE","DISTINTO"))</f>
        <v>COINCIDE</v>
      </c>
      <c r="P132" s="13" t="s">
        <v>141</v>
      </c>
      <c r="Q132" s="13" t="s">
        <v>22</v>
      </c>
      <c r="R132" s="13" t="s">
        <v>23</v>
      </c>
      <c r="S132" s="6"/>
      <c r="T132" s="6"/>
      <c r="U132" s="6"/>
      <c r="V132" s="6"/>
      <c r="W132" s="6"/>
      <c r="X132" s="6"/>
      <c r="Y132" s="6"/>
    </row>
    <row r="133" spans="1:25" ht="15.75" customHeight="1">
      <c r="A133" s="13" t="s">
        <v>18</v>
      </c>
      <c r="B133" s="13">
        <v>700007500</v>
      </c>
      <c r="C133" s="13">
        <v>7000180</v>
      </c>
      <c r="D133" s="13">
        <v>5467</v>
      </c>
      <c r="E133" s="13">
        <v>-69.106978799999993</v>
      </c>
      <c r="F133" s="13">
        <v>-30.1921283</v>
      </c>
      <c r="G133" s="13" t="s">
        <v>146</v>
      </c>
      <c r="H133" s="13" t="s">
        <v>20</v>
      </c>
      <c r="I133" s="13">
        <v>160</v>
      </c>
      <c r="J133" s="13">
        <f t="shared" si="20"/>
        <v>6</v>
      </c>
      <c r="K133" s="13">
        <v>200</v>
      </c>
      <c r="L133" s="13">
        <f t="shared" si="21"/>
        <v>6</v>
      </c>
      <c r="M133" s="14">
        <v>0.10833333333333334</v>
      </c>
      <c r="N133" s="13">
        <v>6</v>
      </c>
      <c r="O133" s="13" t="str">
        <f t="shared" si="22"/>
        <v>COINCIDE</v>
      </c>
      <c r="P133" s="13" t="s">
        <v>141</v>
      </c>
      <c r="Q133" s="13" t="s">
        <v>22</v>
      </c>
      <c r="R133" s="13" t="s">
        <v>23</v>
      </c>
      <c r="S133" s="6"/>
      <c r="T133" s="6"/>
      <c r="U133" s="6"/>
      <c r="V133" s="6"/>
      <c r="W133" s="6"/>
      <c r="X133" s="6"/>
      <c r="Y133" s="6"/>
    </row>
    <row r="134" spans="1:25" ht="15" customHeight="1">
      <c r="A134" s="13" t="s">
        <v>18</v>
      </c>
      <c r="B134" s="13">
        <v>700006800</v>
      </c>
      <c r="C134" s="13">
        <v>7000181</v>
      </c>
      <c r="D134" s="13">
        <v>5467</v>
      </c>
      <c r="E134" s="13">
        <v>-69.204362700000004</v>
      </c>
      <c r="F134" s="13">
        <v>-30.321866799999999</v>
      </c>
      <c r="G134" s="13" t="s">
        <v>147</v>
      </c>
      <c r="H134" s="13" t="s">
        <v>20</v>
      </c>
      <c r="I134" s="13">
        <v>150</v>
      </c>
      <c r="J134" s="13">
        <f t="shared" si="20"/>
        <v>6</v>
      </c>
      <c r="K134" s="13">
        <v>177</v>
      </c>
      <c r="L134" s="13">
        <f t="shared" si="21"/>
        <v>6</v>
      </c>
      <c r="M134" s="14">
        <v>9.6527777777777768E-2</v>
      </c>
      <c r="N134" s="13">
        <v>6</v>
      </c>
      <c r="O134" s="13" t="str">
        <f t="shared" si="22"/>
        <v>COINCIDE</v>
      </c>
      <c r="P134" s="13" t="s">
        <v>141</v>
      </c>
      <c r="Q134" s="13" t="s">
        <v>22</v>
      </c>
      <c r="R134" s="13" t="s">
        <v>23</v>
      </c>
      <c r="S134" s="6"/>
      <c r="T134" s="6"/>
      <c r="U134" s="6"/>
      <c r="V134" s="6"/>
      <c r="W134" s="6"/>
      <c r="X134" s="6"/>
      <c r="Y134" s="6"/>
    </row>
    <row r="135" spans="1:25" ht="15.75" customHeight="1">
      <c r="A135" s="13" t="s">
        <v>18</v>
      </c>
      <c r="B135" s="13">
        <v>700024500</v>
      </c>
      <c r="C135" s="13">
        <v>7000184</v>
      </c>
      <c r="D135" s="13">
        <v>5467</v>
      </c>
      <c r="E135" s="13">
        <v>-69.136641800000007</v>
      </c>
      <c r="F135" s="13">
        <v>-30.211713100000001</v>
      </c>
      <c r="G135" s="13" t="s">
        <v>148</v>
      </c>
      <c r="H135" s="13" t="s">
        <v>20</v>
      </c>
      <c r="I135" s="13">
        <v>159</v>
      </c>
      <c r="J135" s="13">
        <f t="shared" si="20"/>
        <v>6</v>
      </c>
      <c r="K135" s="13">
        <v>196</v>
      </c>
      <c r="L135" s="13">
        <f t="shared" si="21"/>
        <v>6</v>
      </c>
      <c r="M135" s="14">
        <v>0.10694444444444444</v>
      </c>
      <c r="N135" s="13">
        <v>6</v>
      </c>
      <c r="O135" s="13" t="str">
        <f t="shared" si="22"/>
        <v>COINCIDE</v>
      </c>
      <c r="P135" s="13" t="s">
        <v>141</v>
      </c>
      <c r="Q135" s="13" t="s">
        <v>22</v>
      </c>
      <c r="R135" s="13" t="s">
        <v>23</v>
      </c>
      <c r="S135" s="6"/>
      <c r="T135" s="6"/>
      <c r="U135" s="6"/>
      <c r="V135" s="6"/>
      <c r="W135" s="6"/>
      <c r="X135" s="6"/>
      <c r="Y135" s="6"/>
    </row>
    <row r="136" spans="1:25" ht="15.75" customHeight="1">
      <c r="A136" s="13" t="s">
        <v>38</v>
      </c>
      <c r="B136" s="13">
        <v>700007600</v>
      </c>
      <c r="C136" s="13">
        <v>7000185</v>
      </c>
      <c r="D136" s="13">
        <v>5467</v>
      </c>
      <c r="E136" s="13">
        <v>-69.161929200000003</v>
      </c>
      <c r="F136" s="13">
        <v>-30.210096799999999</v>
      </c>
      <c r="G136" s="13" t="s">
        <v>148</v>
      </c>
      <c r="H136" s="13" t="s">
        <v>20</v>
      </c>
      <c r="I136" s="13">
        <v>160</v>
      </c>
      <c r="J136" s="13">
        <f t="shared" si="20"/>
        <v>6</v>
      </c>
      <c r="K136" s="13">
        <v>195</v>
      </c>
      <c r="L136" s="13">
        <f t="shared" si="21"/>
        <v>6</v>
      </c>
      <c r="M136" s="14">
        <v>0.10625</v>
      </c>
      <c r="N136" s="13">
        <v>6</v>
      </c>
      <c r="O136" s="13" t="str">
        <f t="shared" si="22"/>
        <v>COINCIDE</v>
      </c>
      <c r="P136" s="13" t="s">
        <v>141</v>
      </c>
      <c r="Q136" s="13" t="s">
        <v>22</v>
      </c>
      <c r="R136" s="13" t="s">
        <v>23</v>
      </c>
      <c r="S136" s="6"/>
      <c r="T136" s="6"/>
      <c r="U136" s="6"/>
      <c r="V136" s="6"/>
      <c r="W136" s="6"/>
      <c r="X136" s="6"/>
      <c r="Y136" s="6"/>
    </row>
    <row r="137" spans="1:25" ht="15.75" customHeight="1">
      <c r="A137" s="13" t="s">
        <v>18</v>
      </c>
      <c r="B137" s="13">
        <v>700007800</v>
      </c>
      <c r="C137" s="13">
        <v>7000186</v>
      </c>
      <c r="D137" s="13">
        <v>5467</v>
      </c>
      <c r="E137" s="13">
        <v>-69.270925599999998</v>
      </c>
      <c r="F137" s="13">
        <v>-30.190206400000001</v>
      </c>
      <c r="G137" s="13" t="s">
        <v>149</v>
      </c>
      <c r="H137" s="13" t="s">
        <v>20</v>
      </c>
      <c r="I137" s="13">
        <v>166</v>
      </c>
      <c r="J137" s="13">
        <f t="shared" si="20"/>
        <v>6</v>
      </c>
      <c r="K137" s="13">
        <v>195</v>
      </c>
      <c r="L137" s="13">
        <f t="shared" si="21"/>
        <v>6</v>
      </c>
      <c r="M137" s="14">
        <v>0.10694444444444444</v>
      </c>
      <c r="N137" s="13">
        <v>6</v>
      </c>
      <c r="O137" s="13" t="str">
        <f t="shared" si="22"/>
        <v>COINCIDE</v>
      </c>
      <c r="P137" s="13" t="s">
        <v>141</v>
      </c>
      <c r="Q137" s="13" t="s">
        <v>22</v>
      </c>
      <c r="R137" s="13" t="s">
        <v>23</v>
      </c>
      <c r="S137" s="6"/>
      <c r="T137" s="6"/>
      <c r="U137" s="6"/>
      <c r="V137" s="6"/>
      <c r="W137" s="6"/>
      <c r="X137" s="6"/>
      <c r="Y137" s="6"/>
    </row>
    <row r="138" spans="1:25" ht="15.75" customHeight="1">
      <c r="A138" s="13" t="s">
        <v>18</v>
      </c>
      <c r="B138" s="13">
        <v>700006700</v>
      </c>
      <c r="C138" s="13">
        <v>7000187</v>
      </c>
      <c r="D138" s="13">
        <v>5467</v>
      </c>
      <c r="E138" s="13">
        <v>-69.222687899999997</v>
      </c>
      <c r="F138" s="13">
        <v>-30.414357200000001</v>
      </c>
      <c r="G138" s="13" t="s">
        <v>150</v>
      </c>
      <c r="H138" s="13" t="s">
        <v>20</v>
      </c>
      <c r="I138" s="13">
        <v>142</v>
      </c>
      <c r="J138" s="13">
        <f t="shared" si="20"/>
        <v>6</v>
      </c>
      <c r="K138" s="13">
        <v>169</v>
      </c>
      <c r="L138" s="13">
        <f t="shared" si="21"/>
        <v>6</v>
      </c>
      <c r="M138" s="14">
        <v>9.3055555555555558E-2</v>
      </c>
      <c r="N138" s="13">
        <v>6</v>
      </c>
      <c r="O138" s="13" t="str">
        <f t="shared" si="22"/>
        <v>COINCIDE</v>
      </c>
      <c r="P138" s="13" t="s">
        <v>141</v>
      </c>
      <c r="Q138" s="13" t="s">
        <v>22</v>
      </c>
      <c r="R138" s="13" t="s">
        <v>23</v>
      </c>
      <c r="S138" s="6"/>
      <c r="T138" s="6"/>
      <c r="U138" s="6"/>
      <c r="V138" s="6"/>
      <c r="W138" s="6"/>
      <c r="X138" s="6"/>
      <c r="Y138" s="6"/>
    </row>
    <row r="139" spans="1:25" ht="15.75" customHeight="1">
      <c r="A139" s="13" t="s">
        <v>18</v>
      </c>
      <c r="B139" s="13">
        <v>700006900</v>
      </c>
      <c r="C139" s="13">
        <v>7000438</v>
      </c>
      <c r="D139" s="13">
        <v>5467</v>
      </c>
      <c r="E139" s="13">
        <v>-69.210729299999997</v>
      </c>
      <c r="F139" s="13">
        <v>-30.390913099999999</v>
      </c>
      <c r="G139" s="13" t="s">
        <v>151</v>
      </c>
      <c r="H139" s="13" t="s">
        <v>20</v>
      </c>
      <c r="I139" s="13">
        <v>143</v>
      </c>
      <c r="J139" s="13">
        <f t="shared" si="20"/>
        <v>6</v>
      </c>
      <c r="K139" s="13">
        <v>168</v>
      </c>
      <c r="L139" s="13">
        <f t="shared" si="21"/>
        <v>6</v>
      </c>
      <c r="M139" s="14">
        <v>9.2361111111111116E-2</v>
      </c>
      <c r="N139" s="13">
        <v>6</v>
      </c>
      <c r="O139" s="13" t="str">
        <f t="shared" si="22"/>
        <v>COINCIDE</v>
      </c>
      <c r="P139" s="13" t="s">
        <v>141</v>
      </c>
      <c r="Q139" s="13" t="s">
        <v>22</v>
      </c>
      <c r="R139" s="13" t="s">
        <v>23</v>
      </c>
      <c r="S139" s="6"/>
      <c r="T139" s="6"/>
      <c r="U139" s="6"/>
      <c r="V139" s="6"/>
      <c r="W139" s="6"/>
      <c r="X139" s="6"/>
      <c r="Y139" s="6"/>
    </row>
    <row r="140" spans="1:25" ht="15.75" customHeight="1">
      <c r="A140" s="13" t="s">
        <v>26</v>
      </c>
      <c r="B140" s="13">
        <v>700007300</v>
      </c>
      <c r="C140" s="13">
        <v>7050063</v>
      </c>
      <c r="D140" s="13">
        <v>5467</v>
      </c>
      <c r="E140" s="13">
        <v>-69.179325399999996</v>
      </c>
      <c r="F140" s="13">
        <v>-29.958924400000001</v>
      </c>
      <c r="G140" s="13" t="s">
        <v>152</v>
      </c>
      <c r="H140" s="13" t="s">
        <v>20</v>
      </c>
      <c r="I140" s="13">
        <v>187</v>
      </c>
      <c r="J140" s="13">
        <f t="shared" si="20"/>
        <v>6</v>
      </c>
      <c r="K140" s="13">
        <v>231</v>
      </c>
      <c r="L140" s="13">
        <f t="shared" si="21"/>
        <v>6</v>
      </c>
      <c r="M140" s="14">
        <v>0.13333333333333333</v>
      </c>
      <c r="N140" s="13">
        <v>7</v>
      </c>
      <c r="O140" s="13" t="str">
        <f t="shared" ref="O140:O158" si="23">IF(AVERAGE(J140,L140)=N140,"COINCIDE",IF(L140=N140,"INCONGRUENTE",IF(N140=7,"COINCIDE","DISTINTO")))</f>
        <v>COINCIDE</v>
      </c>
      <c r="P140" s="13" t="s">
        <v>141</v>
      </c>
      <c r="Q140" s="13" t="s">
        <v>22</v>
      </c>
      <c r="R140" s="13" t="s">
        <v>23</v>
      </c>
      <c r="S140" s="6"/>
      <c r="T140" s="6"/>
      <c r="U140" s="6"/>
      <c r="V140" s="6"/>
      <c r="W140" s="6"/>
      <c r="X140" s="6"/>
      <c r="Y140" s="6"/>
    </row>
    <row r="141" spans="1:25" ht="15.75" customHeight="1">
      <c r="A141" s="13" t="s">
        <v>18</v>
      </c>
      <c r="B141" s="13">
        <v>700008000</v>
      </c>
      <c r="C141" s="13">
        <v>7050068</v>
      </c>
      <c r="D141" s="13">
        <v>5467</v>
      </c>
      <c r="E141" s="13">
        <v>-69.219592599999999</v>
      </c>
      <c r="F141" s="13">
        <v>-30.308591199999999</v>
      </c>
      <c r="G141" s="13" t="s">
        <v>147</v>
      </c>
      <c r="H141" s="13" t="s">
        <v>20</v>
      </c>
      <c r="I141" s="13">
        <v>162</v>
      </c>
      <c r="J141" s="13">
        <f t="shared" si="20"/>
        <v>6</v>
      </c>
      <c r="K141" s="13">
        <v>181</v>
      </c>
      <c r="L141" s="13">
        <f t="shared" si="21"/>
        <v>6</v>
      </c>
      <c r="M141" s="14">
        <v>9.930555555555555E-2</v>
      </c>
      <c r="N141" s="13">
        <v>6</v>
      </c>
      <c r="O141" s="13" t="str">
        <f t="shared" si="23"/>
        <v>COINCIDE</v>
      </c>
      <c r="P141" s="13" t="s">
        <v>141</v>
      </c>
      <c r="Q141" s="13" t="s">
        <v>22</v>
      </c>
      <c r="R141" s="13" t="s">
        <v>23</v>
      </c>
      <c r="S141" s="6"/>
      <c r="T141" s="6"/>
      <c r="U141" s="6"/>
      <c r="V141" s="6"/>
      <c r="W141" s="6"/>
      <c r="X141" s="6"/>
      <c r="Y141" s="6"/>
    </row>
    <row r="142" spans="1:25" ht="15.75" customHeight="1">
      <c r="A142" s="13" t="s">
        <v>18</v>
      </c>
      <c r="B142" s="13">
        <v>700008001</v>
      </c>
      <c r="C142" s="13">
        <v>7050069</v>
      </c>
      <c r="D142" s="13">
        <v>5467</v>
      </c>
      <c r="E142" s="13">
        <v>-69.229576199999997</v>
      </c>
      <c r="F142" s="13">
        <v>-30.276327200000001</v>
      </c>
      <c r="G142" s="13" t="s">
        <v>153</v>
      </c>
      <c r="H142" s="13" t="s">
        <v>20</v>
      </c>
      <c r="I142" s="13">
        <v>156</v>
      </c>
      <c r="J142" s="13">
        <f t="shared" si="20"/>
        <v>6</v>
      </c>
      <c r="K142" s="13">
        <v>184</v>
      </c>
      <c r="L142" s="13">
        <f t="shared" si="21"/>
        <v>6</v>
      </c>
      <c r="M142" s="14">
        <v>0.10069444444444443</v>
      </c>
      <c r="N142" s="13">
        <v>6</v>
      </c>
      <c r="O142" s="13" t="str">
        <f t="shared" si="23"/>
        <v>COINCIDE</v>
      </c>
      <c r="P142" s="13" t="s">
        <v>141</v>
      </c>
      <c r="Q142" s="13" t="s">
        <v>22</v>
      </c>
      <c r="R142" s="13" t="s">
        <v>23</v>
      </c>
      <c r="S142" s="6"/>
      <c r="T142" s="6"/>
      <c r="U142" s="6"/>
      <c r="V142" s="6"/>
      <c r="W142" s="6"/>
      <c r="X142" s="6"/>
      <c r="Y142" s="6"/>
    </row>
    <row r="143" spans="1:25" ht="15.75" customHeight="1">
      <c r="A143" s="13" t="s">
        <v>40</v>
      </c>
      <c r="B143" s="13">
        <v>700065000</v>
      </c>
      <c r="C143" s="13">
        <v>7050444</v>
      </c>
      <c r="D143" s="13">
        <v>5467</v>
      </c>
      <c r="E143" s="13">
        <v>-69.144246600000002</v>
      </c>
      <c r="F143" s="13">
        <v>-30.2153749</v>
      </c>
      <c r="G143" s="13" t="s">
        <v>148</v>
      </c>
      <c r="H143" s="13" t="s">
        <v>20</v>
      </c>
      <c r="I143" s="13">
        <v>159</v>
      </c>
      <c r="J143" s="13">
        <f t="shared" si="20"/>
        <v>6</v>
      </c>
      <c r="K143" s="13">
        <v>195</v>
      </c>
      <c r="L143" s="13">
        <f t="shared" si="21"/>
        <v>6</v>
      </c>
      <c r="M143" s="14">
        <v>0.10625</v>
      </c>
      <c r="N143" s="13">
        <v>6</v>
      </c>
      <c r="O143" s="13" t="str">
        <f t="shared" si="23"/>
        <v>COINCIDE</v>
      </c>
      <c r="P143" s="13" t="s">
        <v>141</v>
      </c>
      <c r="Q143" s="13" t="s">
        <v>22</v>
      </c>
      <c r="R143" s="13" t="s">
        <v>23</v>
      </c>
      <c r="S143" s="6"/>
      <c r="T143" s="6"/>
      <c r="U143" s="6"/>
      <c r="V143" s="6"/>
      <c r="W143" s="6"/>
      <c r="X143" s="6"/>
      <c r="Y143" s="6"/>
    </row>
    <row r="144" spans="1:25" ht="15.75" customHeight="1">
      <c r="A144" s="13" t="s">
        <v>26</v>
      </c>
      <c r="B144" s="13">
        <v>700014300</v>
      </c>
      <c r="C144" s="13" t="s">
        <v>154</v>
      </c>
      <c r="D144" s="13">
        <v>5467</v>
      </c>
      <c r="E144" s="13">
        <v>-69.137820000000005</v>
      </c>
      <c r="F144" s="13">
        <v>-30.212209999999999</v>
      </c>
      <c r="G144" s="13" t="s">
        <v>143</v>
      </c>
      <c r="H144" s="13" t="s">
        <v>20</v>
      </c>
      <c r="I144" s="13">
        <v>159</v>
      </c>
      <c r="J144" s="13">
        <f t="shared" si="20"/>
        <v>6</v>
      </c>
      <c r="K144" s="13">
        <v>195</v>
      </c>
      <c r="L144" s="13">
        <f t="shared" si="21"/>
        <v>6</v>
      </c>
      <c r="M144" s="14">
        <v>0.10694444444444444</v>
      </c>
      <c r="N144" s="13">
        <v>6</v>
      </c>
      <c r="O144" s="13" t="str">
        <f t="shared" si="23"/>
        <v>COINCIDE</v>
      </c>
      <c r="P144" s="13" t="s">
        <v>141</v>
      </c>
      <c r="Q144" s="13" t="s">
        <v>22</v>
      </c>
      <c r="R144" s="13" t="s">
        <v>23</v>
      </c>
      <c r="S144" s="6"/>
      <c r="T144" s="6"/>
      <c r="U144" s="6"/>
      <c r="V144" s="6"/>
      <c r="W144" s="6"/>
      <c r="X144" s="6"/>
      <c r="Y144" s="6"/>
    </row>
    <row r="145" spans="1:25" ht="15.75" customHeight="1">
      <c r="A145" s="33" t="s">
        <v>28</v>
      </c>
      <c r="B145" s="33">
        <v>700070100</v>
      </c>
      <c r="C145" s="33" t="s">
        <v>155</v>
      </c>
      <c r="D145" s="33">
        <v>5467</v>
      </c>
      <c r="E145" s="33">
        <v>-69.136619600000003</v>
      </c>
      <c r="F145" s="33">
        <v>-30.211604600000001</v>
      </c>
      <c r="G145" s="33" t="s">
        <v>148</v>
      </c>
      <c r="H145" s="33" t="s">
        <v>20</v>
      </c>
      <c r="I145" s="33">
        <v>159</v>
      </c>
      <c r="J145" s="33">
        <f t="shared" si="20"/>
        <v>6</v>
      </c>
      <c r="K145" s="33">
        <v>196</v>
      </c>
      <c r="L145" s="33">
        <f t="shared" si="21"/>
        <v>6</v>
      </c>
      <c r="M145" s="34">
        <v>0.10694444444444444</v>
      </c>
      <c r="N145" s="33">
        <v>6</v>
      </c>
      <c r="O145" s="33" t="str">
        <f t="shared" si="23"/>
        <v>COINCIDE</v>
      </c>
      <c r="P145" s="33" t="s">
        <v>141</v>
      </c>
      <c r="Q145" s="33" t="s">
        <v>22</v>
      </c>
      <c r="R145" s="33" t="s">
        <v>156</v>
      </c>
      <c r="S145" s="6"/>
      <c r="T145" s="6"/>
      <c r="U145" s="6"/>
      <c r="V145" s="6"/>
      <c r="W145" s="6"/>
      <c r="X145" s="6"/>
      <c r="Y145" s="6"/>
    </row>
    <row r="146" spans="1:25" ht="15.75" customHeight="1">
      <c r="A146" s="13" t="s">
        <v>18</v>
      </c>
      <c r="B146" s="13">
        <v>700010200</v>
      </c>
      <c r="C146" s="13">
        <v>7000216</v>
      </c>
      <c r="D146" s="13">
        <v>5460</v>
      </c>
      <c r="E146" s="13">
        <v>-68.686992099999998</v>
      </c>
      <c r="F146" s="13">
        <v>-30.151416999999999</v>
      </c>
      <c r="G146" s="13" t="s">
        <v>124</v>
      </c>
      <c r="H146" s="13" t="s">
        <v>104</v>
      </c>
      <c r="I146" s="13">
        <v>11.6</v>
      </c>
      <c r="J146" s="27">
        <f t="shared" ref="J146:J158" si="24">IF(I146&lt;=2,3,IF(I146&lt;=10,5,6))</f>
        <v>6</v>
      </c>
      <c r="K146" s="13">
        <v>20</v>
      </c>
      <c r="L146" s="27">
        <f t="shared" ref="L146:L158" si="25">IF(K146&lt;=2,3,IF(K146&lt;=10,5,6))</f>
        <v>6</v>
      </c>
      <c r="M146" s="14">
        <v>1.3888888888888888E-2</v>
      </c>
      <c r="N146" s="13">
        <v>6</v>
      </c>
      <c r="O146" s="13" t="str">
        <f t="shared" si="23"/>
        <v>COINCIDE</v>
      </c>
      <c r="P146" s="13" t="s">
        <v>105</v>
      </c>
      <c r="Q146" s="13" t="s">
        <v>22</v>
      </c>
      <c r="R146" s="13" t="s">
        <v>23</v>
      </c>
      <c r="S146" s="6"/>
      <c r="T146" s="6"/>
      <c r="U146" s="6"/>
      <c r="V146" s="6"/>
      <c r="W146" s="6"/>
      <c r="X146" s="6"/>
      <c r="Y146" s="6"/>
    </row>
    <row r="147" spans="1:25" ht="15.75" customHeight="1">
      <c r="A147" s="13" t="s">
        <v>38</v>
      </c>
      <c r="B147" s="13">
        <v>700040500</v>
      </c>
      <c r="C147" s="13">
        <v>7000217</v>
      </c>
      <c r="D147" s="13">
        <v>5460</v>
      </c>
      <c r="E147" s="13">
        <v>-68.706172600000002</v>
      </c>
      <c r="F147" s="13">
        <v>-30.143307499999999</v>
      </c>
      <c r="G147" s="13" t="s">
        <v>157</v>
      </c>
      <c r="H147" s="13" t="s">
        <v>104</v>
      </c>
      <c r="I147" s="13">
        <v>11.7</v>
      </c>
      <c r="J147" s="27">
        <f t="shared" si="24"/>
        <v>6</v>
      </c>
      <c r="K147" s="13">
        <v>13</v>
      </c>
      <c r="L147" s="27">
        <f t="shared" si="25"/>
        <v>6</v>
      </c>
      <c r="M147" s="14">
        <v>1.1111111111111112E-2</v>
      </c>
      <c r="N147" s="13">
        <v>6</v>
      </c>
      <c r="O147" s="13" t="str">
        <f t="shared" si="23"/>
        <v>COINCIDE</v>
      </c>
      <c r="P147" s="13" t="s">
        <v>105</v>
      </c>
      <c r="Q147" s="13" t="s">
        <v>22</v>
      </c>
      <c r="R147" s="13" t="s">
        <v>23</v>
      </c>
      <c r="S147" s="6"/>
      <c r="T147" s="6"/>
      <c r="U147" s="6"/>
      <c r="V147" s="6"/>
      <c r="W147" s="6"/>
      <c r="X147" s="6"/>
      <c r="Y147" s="6"/>
    </row>
    <row r="148" spans="1:25" ht="15.75" customHeight="1">
      <c r="A148" s="11" t="s">
        <v>26</v>
      </c>
      <c r="B148" s="11">
        <v>700041200</v>
      </c>
      <c r="C148" s="11">
        <v>7000218</v>
      </c>
      <c r="D148" s="11">
        <v>5460</v>
      </c>
      <c r="E148" s="11">
        <v>-68.687920399999996</v>
      </c>
      <c r="F148" s="11">
        <v>-30.2143303</v>
      </c>
      <c r="G148" s="11" t="s">
        <v>120</v>
      </c>
      <c r="H148" s="11" t="s">
        <v>104</v>
      </c>
      <c r="I148" s="11">
        <v>6.47</v>
      </c>
      <c r="J148" s="32">
        <f t="shared" si="24"/>
        <v>5</v>
      </c>
      <c r="K148" s="11">
        <v>9</v>
      </c>
      <c r="L148" s="32">
        <f t="shared" si="25"/>
        <v>5</v>
      </c>
      <c r="M148" s="12">
        <v>8.3333333333333332E-3</v>
      </c>
      <c r="N148" s="11">
        <v>6</v>
      </c>
      <c r="O148" s="11" t="str">
        <f t="shared" si="23"/>
        <v>DISTINTO</v>
      </c>
      <c r="P148" s="11" t="s">
        <v>105</v>
      </c>
      <c r="Q148" s="11" t="s">
        <v>22</v>
      </c>
      <c r="R148" s="11" t="s">
        <v>23</v>
      </c>
      <c r="S148" s="6"/>
      <c r="T148" s="6"/>
      <c r="U148" s="6"/>
      <c r="V148" s="6"/>
      <c r="W148" s="6"/>
      <c r="X148" s="6"/>
      <c r="Y148" s="6"/>
    </row>
    <row r="149" spans="1:25" ht="15.75" customHeight="1">
      <c r="A149" s="13" t="s">
        <v>18</v>
      </c>
      <c r="B149" s="13">
        <v>700041500</v>
      </c>
      <c r="C149" s="13">
        <v>7000219</v>
      </c>
      <c r="D149" s="13">
        <v>5460</v>
      </c>
      <c r="E149" s="13">
        <v>-68.747635000000002</v>
      </c>
      <c r="F149" s="13">
        <v>-30.236775699999999</v>
      </c>
      <c r="G149" s="13" t="s">
        <v>103</v>
      </c>
      <c r="H149" s="13" t="s">
        <v>104</v>
      </c>
      <c r="I149" s="13">
        <v>0.55200000000000005</v>
      </c>
      <c r="J149" s="27">
        <f t="shared" si="24"/>
        <v>3</v>
      </c>
      <c r="K149" s="13">
        <v>0.63600000000000001</v>
      </c>
      <c r="L149" s="27">
        <f t="shared" si="25"/>
        <v>3</v>
      </c>
      <c r="M149" s="14">
        <v>1.3888888888888889E-3</v>
      </c>
      <c r="N149" s="13">
        <v>3</v>
      </c>
      <c r="O149" s="13" t="str">
        <f t="shared" si="23"/>
        <v>COINCIDE</v>
      </c>
      <c r="P149" s="13" t="s">
        <v>105</v>
      </c>
      <c r="Q149" s="13" t="s">
        <v>22</v>
      </c>
      <c r="R149" s="13" t="s">
        <v>23</v>
      </c>
      <c r="S149" s="6"/>
      <c r="T149" s="6"/>
      <c r="U149" s="6"/>
      <c r="V149" s="6"/>
      <c r="W149" s="6"/>
      <c r="X149" s="6"/>
      <c r="Y149" s="6"/>
    </row>
    <row r="150" spans="1:25" ht="15.75" customHeight="1">
      <c r="A150" s="11" t="s">
        <v>18</v>
      </c>
      <c r="B150" s="11">
        <v>700052000</v>
      </c>
      <c r="C150" s="11">
        <v>7000220</v>
      </c>
      <c r="D150" s="11">
        <v>5460</v>
      </c>
      <c r="E150" s="11">
        <v>-68.703801299999995</v>
      </c>
      <c r="F150" s="11">
        <v>-30.2785628</v>
      </c>
      <c r="G150" s="11" t="s">
        <v>158</v>
      </c>
      <c r="H150" s="11" t="s">
        <v>104</v>
      </c>
      <c r="I150" s="11">
        <v>5.87</v>
      </c>
      <c r="J150" s="32">
        <f t="shared" si="24"/>
        <v>5</v>
      </c>
      <c r="K150" s="11">
        <v>9</v>
      </c>
      <c r="L150" s="32">
        <f t="shared" si="25"/>
        <v>5</v>
      </c>
      <c r="M150" s="12">
        <v>6.9444444444444441E-3</v>
      </c>
      <c r="N150" s="11">
        <v>6</v>
      </c>
      <c r="O150" s="11" t="str">
        <f t="shared" si="23"/>
        <v>DISTINTO</v>
      </c>
      <c r="P150" s="11" t="s">
        <v>105</v>
      </c>
      <c r="Q150" s="11" t="s">
        <v>22</v>
      </c>
      <c r="R150" s="11" t="s">
        <v>23</v>
      </c>
      <c r="S150" s="6"/>
      <c r="T150" s="6"/>
      <c r="U150" s="6"/>
      <c r="V150" s="6"/>
      <c r="W150" s="6"/>
      <c r="X150" s="6"/>
      <c r="Y150" s="6"/>
    </row>
    <row r="151" spans="1:25" ht="15.75" customHeight="1">
      <c r="A151" s="11" t="s">
        <v>18</v>
      </c>
      <c r="B151" s="11">
        <v>700040700</v>
      </c>
      <c r="C151" s="11">
        <v>7000221</v>
      </c>
      <c r="D151" s="11">
        <v>5460</v>
      </c>
      <c r="E151" s="11">
        <v>-68.725454299999996</v>
      </c>
      <c r="F151" s="11">
        <v>-30.188701399999999</v>
      </c>
      <c r="G151" s="11" t="s">
        <v>102</v>
      </c>
      <c r="H151" s="11" t="s">
        <v>104</v>
      </c>
      <c r="I151" s="11">
        <v>6.24</v>
      </c>
      <c r="J151" s="32">
        <f t="shared" si="24"/>
        <v>5</v>
      </c>
      <c r="K151" s="11">
        <v>7</v>
      </c>
      <c r="L151" s="32">
        <f t="shared" si="25"/>
        <v>5</v>
      </c>
      <c r="M151" s="12">
        <v>6.9444444444444441E-3</v>
      </c>
      <c r="N151" s="11">
        <v>6</v>
      </c>
      <c r="O151" s="11" t="str">
        <f t="shared" si="23"/>
        <v>DISTINTO</v>
      </c>
      <c r="P151" s="11" t="s">
        <v>105</v>
      </c>
      <c r="Q151" s="11" t="s">
        <v>22</v>
      </c>
      <c r="R151" s="11" t="s">
        <v>23</v>
      </c>
      <c r="S151" s="6"/>
      <c r="T151" s="6"/>
      <c r="U151" s="6"/>
      <c r="V151" s="6"/>
      <c r="W151" s="6"/>
      <c r="X151" s="6"/>
      <c r="Y151" s="6"/>
    </row>
    <row r="152" spans="1:25" ht="15.75" customHeight="1">
      <c r="A152" s="13" t="s">
        <v>18</v>
      </c>
      <c r="B152" s="13">
        <v>700011700</v>
      </c>
      <c r="C152" s="13">
        <v>7000222</v>
      </c>
      <c r="D152" s="13">
        <v>5460</v>
      </c>
      <c r="E152" s="13">
        <v>-68.700555899999998</v>
      </c>
      <c r="F152" s="13">
        <v>-30.1058235</v>
      </c>
      <c r="G152" s="13" t="s">
        <v>159</v>
      </c>
      <c r="H152" s="13" t="s">
        <v>104</v>
      </c>
      <c r="I152" s="13">
        <v>15.8</v>
      </c>
      <c r="J152" s="27">
        <f t="shared" si="24"/>
        <v>6</v>
      </c>
      <c r="K152" s="13">
        <v>17</v>
      </c>
      <c r="L152" s="27">
        <f t="shared" si="25"/>
        <v>6</v>
      </c>
      <c r="M152" s="14">
        <v>1.4583333333333332E-2</v>
      </c>
      <c r="N152" s="13">
        <v>6</v>
      </c>
      <c r="O152" s="13" t="str">
        <f t="shared" si="23"/>
        <v>COINCIDE</v>
      </c>
      <c r="P152" s="13" t="s">
        <v>105</v>
      </c>
      <c r="Q152" s="13" t="s">
        <v>22</v>
      </c>
      <c r="R152" s="13" t="s">
        <v>23</v>
      </c>
      <c r="S152" s="6"/>
      <c r="T152" s="6"/>
      <c r="U152" s="6"/>
      <c r="V152" s="6"/>
      <c r="W152" s="6"/>
      <c r="X152" s="6"/>
      <c r="Y152" s="6"/>
    </row>
    <row r="153" spans="1:25" ht="15.75" customHeight="1">
      <c r="A153" s="13" t="s">
        <v>18</v>
      </c>
      <c r="B153" s="13">
        <v>700017100</v>
      </c>
      <c r="C153" s="13">
        <v>7000223</v>
      </c>
      <c r="D153" s="13">
        <v>5460</v>
      </c>
      <c r="E153" s="13">
        <v>-68.731537099999997</v>
      </c>
      <c r="F153" s="13">
        <v>-30.244037599999999</v>
      </c>
      <c r="G153" s="13" t="s">
        <v>107</v>
      </c>
      <c r="H153" s="13" t="s">
        <v>104</v>
      </c>
      <c r="I153" s="13">
        <v>1.54</v>
      </c>
      <c r="J153" s="27">
        <f t="shared" si="24"/>
        <v>3</v>
      </c>
      <c r="K153" s="13">
        <v>2</v>
      </c>
      <c r="L153" s="27">
        <f t="shared" si="25"/>
        <v>3</v>
      </c>
      <c r="M153" s="14">
        <v>3.472222222222222E-3</v>
      </c>
      <c r="N153" s="13">
        <v>3</v>
      </c>
      <c r="O153" s="13" t="str">
        <f t="shared" si="23"/>
        <v>COINCIDE</v>
      </c>
      <c r="P153" s="13" t="s">
        <v>105</v>
      </c>
      <c r="Q153" s="13" t="s">
        <v>22</v>
      </c>
      <c r="R153" s="13" t="s">
        <v>160</v>
      </c>
      <c r="S153" s="6"/>
      <c r="T153" s="6"/>
      <c r="U153" s="6"/>
      <c r="V153" s="6"/>
      <c r="W153" s="6"/>
      <c r="X153" s="6"/>
      <c r="Y153" s="6"/>
    </row>
    <row r="154" spans="1:25" ht="15.75" customHeight="1">
      <c r="A154" s="13" t="s">
        <v>18</v>
      </c>
      <c r="B154" s="13">
        <v>700051000</v>
      </c>
      <c r="C154" s="13">
        <v>7000224</v>
      </c>
      <c r="D154" s="13">
        <v>5460</v>
      </c>
      <c r="E154" s="13">
        <v>-68.751395799999997</v>
      </c>
      <c r="F154" s="13">
        <v>-30.014625800000001</v>
      </c>
      <c r="G154" s="13" t="s">
        <v>161</v>
      </c>
      <c r="H154" s="13" t="s">
        <v>104</v>
      </c>
      <c r="I154" s="13">
        <v>25.4</v>
      </c>
      <c r="J154" s="27">
        <f t="shared" si="24"/>
        <v>6</v>
      </c>
      <c r="K154" s="13">
        <v>31</v>
      </c>
      <c r="L154" s="27">
        <f t="shared" si="25"/>
        <v>6</v>
      </c>
      <c r="M154" s="14">
        <v>2.9861111111111113E-2</v>
      </c>
      <c r="N154" s="13">
        <v>7</v>
      </c>
      <c r="O154" s="13" t="str">
        <f t="shared" si="23"/>
        <v>COINCIDE</v>
      </c>
      <c r="P154" s="13" t="s">
        <v>105</v>
      </c>
      <c r="Q154" s="13" t="s">
        <v>22</v>
      </c>
      <c r="R154" s="13" t="s">
        <v>23</v>
      </c>
      <c r="S154" s="6"/>
      <c r="T154" s="6"/>
      <c r="U154" s="6"/>
      <c r="V154" s="6"/>
      <c r="W154" s="6"/>
      <c r="X154" s="6"/>
      <c r="Y154" s="6"/>
    </row>
    <row r="155" spans="1:25" ht="15.75" customHeight="1">
      <c r="A155" s="13" t="s">
        <v>18</v>
      </c>
      <c r="B155" s="13">
        <v>700040600</v>
      </c>
      <c r="C155" s="13">
        <v>7000435</v>
      </c>
      <c r="D155" s="13">
        <v>5460</v>
      </c>
      <c r="E155" s="13">
        <v>-68.721086200000002</v>
      </c>
      <c r="F155" s="13">
        <v>-30.121475</v>
      </c>
      <c r="G155" s="13" t="s">
        <v>162</v>
      </c>
      <c r="H155" s="13" t="s">
        <v>104</v>
      </c>
      <c r="I155" s="13">
        <v>13.6</v>
      </c>
      <c r="J155" s="27">
        <f t="shared" si="24"/>
        <v>6</v>
      </c>
      <c r="K155" s="13">
        <v>20</v>
      </c>
      <c r="L155" s="27">
        <f t="shared" si="25"/>
        <v>6</v>
      </c>
      <c r="M155" s="14">
        <v>1.3888888888888888E-2</v>
      </c>
      <c r="N155" s="13">
        <v>6</v>
      </c>
      <c r="O155" s="13" t="str">
        <f t="shared" si="23"/>
        <v>COINCIDE</v>
      </c>
      <c r="P155" s="13" t="s">
        <v>105</v>
      </c>
      <c r="Q155" s="13" t="s">
        <v>22</v>
      </c>
      <c r="R155" s="13" t="s">
        <v>23</v>
      </c>
      <c r="S155" s="6"/>
      <c r="T155" s="6"/>
      <c r="U155" s="6"/>
      <c r="V155" s="6"/>
      <c r="W155" s="6"/>
      <c r="X155" s="6"/>
      <c r="Y155" s="6"/>
    </row>
    <row r="156" spans="1:25" ht="15.75" customHeight="1">
      <c r="A156" s="13" t="s">
        <v>18</v>
      </c>
      <c r="B156" s="13">
        <v>700051500</v>
      </c>
      <c r="C156" s="13">
        <v>7000436</v>
      </c>
      <c r="D156" s="13">
        <v>5460</v>
      </c>
      <c r="E156" s="13">
        <v>-68.719879000000006</v>
      </c>
      <c r="F156" s="13">
        <v>-30.249858100000001</v>
      </c>
      <c r="G156" s="13" t="s">
        <v>163</v>
      </c>
      <c r="H156" s="13" t="s">
        <v>104</v>
      </c>
      <c r="I156" s="13">
        <v>2.79</v>
      </c>
      <c r="J156" s="27">
        <f t="shared" si="24"/>
        <v>5</v>
      </c>
      <c r="K156" s="13">
        <v>3</v>
      </c>
      <c r="L156" s="27">
        <f t="shared" si="25"/>
        <v>5</v>
      </c>
      <c r="M156" s="14">
        <v>4.1666666666666666E-3</v>
      </c>
      <c r="N156" s="13">
        <v>5</v>
      </c>
      <c r="O156" s="13" t="str">
        <f t="shared" si="23"/>
        <v>COINCIDE</v>
      </c>
      <c r="P156" s="13" t="s">
        <v>105</v>
      </c>
      <c r="Q156" s="13" t="s">
        <v>22</v>
      </c>
      <c r="R156" s="13" t="s">
        <v>23</v>
      </c>
      <c r="S156" s="6"/>
      <c r="T156" s="6"/>
      <c r="U156" s="6"/>
      <c r="V156" s="6"/>
      <c r="W156" s="6"/>
      <c r="X156" s="6"/>
      <c r="Y156" s="6"/>
    </row>
    <row r="157" spans="1:25" ht="15.75" customHeight="1">
      <c r="A157" s="13" t="s">
        <v>18</v>
      </c>
      <c r="B157" s="13">
        <v>700045000</v>
      </c>
      <c r="C157" s="13">
        <v>7050300</v>
      </c>
      <c r="D157" s="13">
        <v>5460</v>
      </c>
      <c r="E157" s="13">
        <v>-68.700076499999994</v>
      </c>
      <c r="F157" s="13">
        <v>-30.140455899999999</v>
      </c>
      <c r="G157" s="13" t="s">
        <v>157</v>
      </c>
      <c r="H157" s="13" t="s">
        <v>104</v>
      </c>
      <c r="I157" s="13">
        <v>12.2</v>
      </c>
      <c r="J157" s="27">
        <f t="shared" si="24"/>
        <v>6</v>
      </c>
      <c r="K157" s="13">
        <v>14</v>
      </c>
      <c r="L157" s="27">
        <f t="shared" si="25"/>
        <v>6</v>
      </c>
      <c r="M157" s="14">
        <v>1.1805555555555555E-2</v>
      </c>
      <c r="N157" s="13">
        <v>6</v>
      </c>
      <c r="O157" s="13" t="str">
        <f t="shared" si="23"/>
        <v>COINCIDE</v>
      </c>
      <c r="P157" s="13" t="s">
        <v>105</v>
      </c>
      <c r="Q157" s="13" t="s">
        <v>22</v>
      </c>
      <c r="R157" s="13" t="s">
        <v>23</v>
      </c>
      <c r="S157" s="6"/>
      <c r="T157" s="6"/>
      <c r="U157" s="6"/>
      <c r="V157" s="6"/>
      <c r="W157" s="6"/>
      <c r="X157" s="6"/>
      <c r="Y157" s="6"/>
    </row>
    <row r="158" spans="1:25" ht="15.75" customHeight="1">
      <c r="A158" s="11" t="s">
        <v>18</v>
      </c>
      <c r="B158" s="11">
        <v>700051300</v>
      </c>
      <c r="C158" s="11">
        <v>7050364</v>
      </c>
      <c r="D158" s="11">
        <v>5460</v>
      </c>
      <c r="E158" s="11">
        <v>-68.746564000000006</v>
      </c>
      <c r="F158" s="11">
        <v>-30.209445200000001</v>
      </c>
      <c r="G158" s="11" t="s">
        <v>145</v>
      </c>
      <c r="H158" s="11" t="s">
        <v>104</v>
      </c>
      <c r="I158" s="11">
        <v>3.59</v>
      </c>
      <c r="J158" s="32">
        <f t="shared" si="24"/>
        <v>5</v>
      </c>
      <c r="K158" s="11">
        <v>9</v>
      </c>
      <c r="L158" s="32">
        <f t="shared" si="25"/>
        <v>5</v>
      </c>
      <c r="M158" s="12">
        <v>6.2499999999999995E-3</v>
      </c>
      <c r="N158" s="11">
        <v>6</v>
      </c>
      <c r="O158" s="11" t="str">
        <f t="shared" si="23"/>
        <v>DISTINTO</v>
      </c>
      <c r="P158" s="11" t="s">
        <v>105</v>
      </c>
      <c r="Q158" s="11" t="s">
        <v>22</v>
      </c>
      <c r="R158" s="11" t="s">
        <v>23</v>
      </c>
      <c r="S158" s="6"/>
      <c r="T158" s="6"/>
      <c r="U158" s="6"/>
      <c r="V158" s="6"/>
      <c r="W158" s="6"/>
      <c r="X158" s="6"/>
      <c r="Y158" s="6"/>
    </row>
    <row r="159" spans="1:25" ht="15.75" customHeight="1">
      <c r="A159" s="27" t="s">
        <v>18</v>
      </c>
      <c r="B159" s="27">
        <v>700002300</v>
      </c>
      <c r="C159" s="27">
        <v>7000093</v>
      </c>
      <c r="D159" s="27">
        <v>5400</v>
      </c>
      <c r="E159" s="27">
        <v>-68.541870799999998</v>
      </c>
      <c r="F159" s="27">
        <v>-31.530211000000001</v>
      </c>
      <c r="G159" s="27" t="s">
        <v>132</v>
      </c>
      <c r="H159" s="27" t="s">
        <v>20</v>
      </c>
      <c r="I159" s="27">
        <v>1.77</v>
      </c>
      <c r="J159" s="27">
        <f t="shared" ref="J159:J218" si="26">IF(I159&lt;=4,1,IF(I159&lt;=10,2,IF(I159&lt;=20,3,IF(I159&lt;=40,4,IF(I159&lt;=80,5,6)))))</f>
        <v>1</v>
      </c>
      <c r="K159" s="27">
        <v>2</v>
      </c>
      <c r="L159" s="27">
        <f t="shared" ref="L159:L218" si="27">IF(K159&lt;=4,1,IF(K159&lt;=10,2,IF(K159&lt;=20,3,IF(K159&lt;=40,4,IF(K159&lt;=80,5,6)))))</f>
        <v>1</v>
      </c>
      <c r="M159" s="28">
        <v>4.1666666666666666E-3</v>
      </c>
      <c r="N159" s="27">
        <v>1</v>
      </c>
      <c r="O159" s="27" t="str">
        <f>IF(AVERAGE(J159,L159)=N159,"COINCIDE",IF(L159=N159,"INCONGRUENTE","DISTINTO"))</f>
        <v>COINCIDE</v>
      </c>
      <c r="P159" s="27" t="s">
        <v>132</v>
      </c>
      <c r="Q159" s="27" t="s">
        <v>22</v>
      </c>
      <c r="R159" s="27" t="s">
        <v>23</v>
      </c>
      <c r="S159" s="6"/>
      <c r="T159" s="6"/>
      <c r="U159" s="6"/>
      <c r="V159" s="6"/>
      <c r="W159" s="6"/>
      <c r="X159" s="6"/>
      <c r="Y159" s="6"/>
    </row>
    <row r="160" spans="1:25" ht="15.75" customHeight="1">
      <c r="A160" s="11" t="s">
        <v>18</v>
      </c>
      <c r="B160" s="11">
        <v>700027800</v>
      </c>
      <c r="C160" s="11">
        <v>7000094</v>
      </c>
      <c r="D160" s="11">
        <v>5400</v>
      </c>
      <c r="E160" s="11">
        <v>-68.554717999999994</v>
      </c>
      <c r="F160" s="11">
        <v>-31.514610099999999</v>
      </c>
      <c r="G160" s="11" t="s">
        <v>164</v>
      </c>
      <c r="H160" s="11" t="s">
        <v>20</v>
      </c>
      <c r="I160" s="11">
        <v>3.77</v>
      </c>
      <c r="J160" s="11">
        <f t="shared" si="26"/>
        <v>1</v>
      </c>
      <c r="K160" s="11">
        <v>5</v>
      </c>
      <c r="L160" s="11">
        <f t="shared" si="27"/>
        <v>2</v>
      </c>
      <c r="M160" s="12">
        <v>8.3333333333333332E-3</v>
      </c>
      <c r="N160" s="11">
        <v>1</v>
      </c>
      <c r="O160" s="11" t="str">
        <f t="shared" ref="O160:O161" si="28">IF(AVERAGE(J160,L160)=N160,"COINCIDE",IF(L160=N160,"INCONGRUENTE",IF(N160=7,"COINCIDE","DISTINTO")))</f>
        <v>DISTINTO</v>
      </c>
      <c r="P160" s="11" t="s">
        <v>132</v>
      </c>
      <c r="Q160" s="11" t="s">
        <v>22</v>
      </c>
      <c r="R160" s="11" t="s">
        <v>23</v>
      </c>
      <c r="S160" s="6"/>
      <c r="T160" s="6"/>
      <c r="U160" s="6"/>
      <c r="V160" s="6"/>
      <c r="W160" s="6"/>
      <c r="X160" s="6"/>
      <c r="Y160" s="6"/>
    </row>
    <row r="161" spans="1:25" ht="13.5" customHeight="1">
      <c r="A161" s="11" t="s">
        <v>18</v>
      </c>
      <c r="B161" s="11">
        <v>700027400</v>
      </c>
      <c r="C161" s="11">
        <v>7000095</v>
      </c>
      <c r="D161" s="11">
        <v>5400</v>
      </c>
      <c r="E161" s="11">
        <v>-68.564672099999996</v>
      </c>
      <c r="F161" s="11" t="s">
        <v>165</v>
      </c>
      <c r="G161" s="11" t="s">
        <v>166</v>
      </c>
      <c r="H161" s="11" t="s">
        <v>20</v>
      </c>
      <c r="I161" s="11">
        <v>3.93</v>
      </c>
      <c r="J161" s="11">
        <f t="shared" si="26"/>
        <v>1</v>
      </c>
      <c r="K161" s="11">
        <v>5</v>
      </c>
      <c r="L161" s="11">
        <f t="shared" si="27"/>
        <v>2</v>
      </c>
      <c r="M161" s="12">
        <v>7.6388888888888886E-3</v>
      </c>
      <c r="N161" s="11">
        <v>1</v>
      </c>
      <c r="O161" s="11" t="str">
        <f t="shared" si="28"/>
        <v>DISTINTO</v>
      </c>
      <c r="P161" s="11" t="s">
        <v>132</v>
      </c>
      <c r="Q161" s="11" t="s">
        <v>22</v>
      </c>
      <c r="R161" s="11" t="s">
        <v>23</v>
      </c>
      <c r="S161" s="6"/>
      <c r="T161" s="6"/>
      <c r="U161" s="6"/>
      <c r="V161" s="6"/>
      <c r="W161" s="6"/>
      <c r="X161" s="6"/>
      <c r="Y161" s="6"/>
    </row>
    <row r="162" spans="1:25" ht="15.75" customHeight="1">
      <c r="A162" s="13" t="s">
        <v>18</v>
      </c>
      <c r="B162" s="13">
        <v>700061500</v>
      </c>
      <c r="C162" s="13">
        <v>7000097</v>
      </c>
      <c r="D162" s="13">
        <v>5400</v>
      </c>
      <c r="E162" s="13">
        <v>-68.524045900000004</v>
      </c>
      <c r="F162" s="13">
        <v>-31.514361699999998</v>
      </c>
      <c r="G162" s="13" t="s">
        <v>132</v>
      </c>
      <c r="H162" s="13" t="s">
        <v>20</v>
      </c>
      <c r="I162" s="13">
        <v>2.5299999999999998</v>
      </c>
      <c r="J162" s="13">
        <f t="shared" si="26"/>
        <v>1</v>
      </c>
      <c r="K162" s="13">
        <v>3</v>
      </c>
      <c r="L162" s="13">
        <f t="shared" si="27"/>
        <v>1</v>
      </c>
      <c r="M162" s="14">
        <v>5.5555555555555558E-3</v>
      </c>
      <c r="N162" s="13">
        <v>1</v>
      </c>
      <c r="O162" s="13" t="str">
        <f t="shared" ref="O162:O183" si="29">IF(AVERAGE(J162,L162)=N162,"COINCIDE",IF(L162=N162,"INCONGRUENTE","DISTINTO"))</f>
        <v>COINCIDE</v>
      </c>
      <c r="P162" s="13" t="s">
        <v>132</v>
      </c>
      <c r="Q162" s="13" t="s">
        <v>22</v>
      </c>
      <c r="R162" s="13" t="s">
        <v>23</v>
      </c>
      <c r="S162" s="6"/>
      <c r="T162" s="6"/>
      <c r="U162" s="6"/>
      <c r="V162" s="6"/>
      <c r="W162" s="6"/>
      <c r="X162" s="6"/>
      <c r="Y162" s="6"/>
    </row>
    <row r="163" spans="1:25" ht="15.75" customHeight="1">
      <c r="A163" s="13" t="s">
        <v>18</v>
      </c>
      <c r="B163" s="13">
        <v>700031100</v>
      </c>
      <c r="C163" s="13">
        <v>7000098</v>
      </c>
      <c r="D163" s="13">
        <v>5400</v>
      </c>
      <c r="E163" s="13">
        <v>-68.529373000000007</v>
      </c>
      <c r="F163" s="13">
        <v>-31.511348600000002</v>
      </c>
      <c r="G163" s="13" t="s">
        <v>167</v>
      </c>
      <c r="H163" s="13" t="s">
        <v>20</v>
      </c>
      <c r="I163" s="13">
        <v>2.89</v>
      </c>
      <c r="J163" s="13">
        <f t="shared" si="26"/>
        <v>1</v>
      </c>
      <c r="K163" s="13">
        <v>3</v>
      </c>
      <c r="L163" s="13">
        <f t="shared" si="27"/>
        <v>1</v>
      </c>
      <c r="M163" s="14">
        <v>5.5555555555555558E-3</v>
      </c>
      <c r="N163" s="13">
        <v>1</v>
      </c>
      <c r="O163" s="13" t="str">
        <f t="shared" si="29"/>
        <v>COINCIDE</v>
      </c>
      <c r="P163" s="13" t="s">
        <v>132</v>
      </c>
      <c r="Q163" s="13" t="s">
        <v>22</v>
      </c>
      <c r="R163" s="13" t="s">
        <v>23</v>
      </c>
      <c r="S163" s="6"/>
      <c r="T163" s="6"/>
      <c r="U163" s="6"/>
      <c r="V163" s="6"/>
      <c r="W163" s="6"/>
      <c r="X163" s="6"/>
      <c r="Y163" s="6"/>
    </row>
    <row r="164" spans="1:25" ht="15.75" customHeight="1">
      <c r="A164" s="13" t="s">
        <v>18</v>
      </c>
      <c r="B164" s="13">
        <v>700003000</v>
      </c>
      <c r="C164" s="13">
        <v>7000101</v>
      </c>
      <c r="D164" s="13">
        <v>5400</v>
      </c>
      <c r="E164" s="13">
        <v>-68.549599670000006</v>
      </c>
      <c r="F164" s="13">
        <v>-31.534649600000002</v>
      </c>
      <c r="G164" s="13" t="s">
        <v>166</v>
      </c>
      <c r="H164" s="13" t="s">
        <v>20</v>
      </c>
      <c r="I164" s="13">
        <v>2.35</v>
      </c>
      <c r="J164" s="13">
        <f t="shared" si="26"/>
        <v>1</v>
      </c>
      <c r="K164" s="13">
        <v>3</v>
      </c>
      <c r="L164" s="13">
        <f t="shared" si="27"/>
        <v>1</v>
      </c>
      <c r="M164" s="14">
        <v>4.8611111111111112E-3</v>
      </c>
      <c r="N164" s="13">
        <v>1</v>
      </c>
      <c r="O164" s="13" t="str">
        <f t="shared" si="29"/>
        <v>COINCIDE</v>
      </c>
      <c r="P164" s="13" t="s">
        <v>132</v>
      </c>
      <c r="Q164" s="13" t="s">
        <v>22</v>
      </c>
      <c r="R164" s="13" t="s">
        <v>23</v>
      </c>
      <c r="S164" s="6"/>
      <c r="T164" s="6"/>
      <c r="U164" s="6"/>
      <c r="V164" s="6"/>
      <c r="W164" s="6"/>
      <c r="X164" s="6"/>
      <c r="Y164" s="6"/>
    </row>
    <row r="165" spans="1:25" ht="15.75" customHeight="1">
      <c r="A165" s="13" t="s">
        <v>18</v>
      </c>
      <c r="B165" s="13">
        <v>700031300</v>
      </c>
      <c r="C165" s="13">
        <v>7000102</v>
      </c>
      <c r="D165" s="13">
        <v>5400</v>
      </c>
      <c r="E165" s="13">
        <v>-68.536742000000004</v>
      </c>
      <c r="F165" s="13">
        <v>-31.5195209</v>
      </c>
      <c r="G165" s="13" t="s">
        <v>133</v>
      </c>
      <c r="H165" s="13" t="s">
        <v>20</v>
      </c>
      <c r="I165" s="13">
        <v>2.25</v>
      </c>
      <c r="J165" s="13">
        <f t="shared" si="26"/>
        <v>1</v>
      </c>
      <c r="K165" s="13">
        <v>3</v>
      </c>
      <c r="L165" s="13">
        <f t="shared" si="27"/>
        <v>1</v>
      </c>
      <c r="M165" s="14">
        <v>5.5555555555555558E-3</v>
      </c>
      <c r="N165" s="13">
        <v>1</v>
      </c>
      <c r="O165" s="13" t="str">
        <f t="shared" si="29"/>
        <v>COINCIDE</v>
      </c>
      <c r="P165" s="13" t="s">
        <v>132</v>
      </c>
      <c r="Q165" s="13" t="s">
        <v>22</v>
      </c>
      <c r="R165" s="13" t="s">
        <v>23</v>
      </c>
      <c r="S165" s="6"/>
      <c r="T165" s="6"/>
      <c r="U165" s="6"/>
      <c r="V165" s="6"/>
      <c r="W165" s="6"/>
      <c r="X165" s="6"/>
      <c r="Y165" s="6"/>
    </row>
    <row r="166" spans="1:25" ht="15.75" customHeight="1">
      <c r="A166" s="13" t="s">
        <v>18</v>
      </c>
      <c r="B166" s="13">
        <v>700060100</v>
      </c>
      <c r="C166" s="13">
        <v>7000106</v>
      </c>
      <c r="D166" s="13">
        <v>5400</v>
      </c>
      <c r="E166" s="13">
        <v>-68.524452100000005</v>
      </c>
      <c r="F166" s="13">
        <v>-31.5184438</v>
      </c>
      <c r="G166" s="13" t="s">
        <v>133</v>
      </c>
      <c r="H166" s="13" t="s">
        <v>20</v>
      </c>
      <c r="I166" s="13">
        <v>2.0699999999999998</v>
      </c>
      <c r="J166" s="13">
        <f t="shared" si="26"/>
        <v>1</v>
      </c>
      <c r="K166" s="13">
        <v>3</v>
      </c>
      <c r="L166" s="13">
        <f t="shared" si="27"/>
        <v>1</v>
      </c>
      <c r="M166" s="14">
        <v>4.8611111111111112E-3</v>
      </c>
      <c r="N166" s="13">
        <v>1</v>
      </c>
      <c r="O166" s="13" t="str">
        <f t="shared" si="29"/>
        <v>COINCIDE</v>
      </c>
      <c r="P166" s="13" t="s">
        <v>132</v>
      </c>
      <c r="Q166" s="13" t="s">
        <v>22</v>
      </c>
      <c r="R166" s="13" t="s">
        <v>23</v>
      </c>
      <c r="S166" s="6"/>
      <c r="T166" s="6"/>
      <c r="U166" s="6"/>
      <c r="V166" s="6"/>
      <c r="W166" s="6"/>
      <c r="X166" s="6"/>
      <c r="Y166" s="6"/>
    </row>
    <row r="167" spans="1:25" ht="14.25" customHeight="1">
      <c r="A167" s="13" t="s">
        <v>18</v>
      </c>
      <c r="B167" s="13">
        <v>700061400</v>
      </c>
      <c r="C167" s="13">
        <v>7000107</v>
      </c>
      <c r="D167" s="13">
        <v>5400</v>
      </c>
      <c r="E167" s="13">
        <v>-68.514854499999998</v>
      </c>
      <c r="F167" s="13">
        <v>-31.5175771</v>
      </c>
      <c r="G167" s="13" t="s">
        <v>133</v>
      </c>
      <c r="H167" s="13" t="s">
        <v>20</v>
      </c>
      <c r="I167" s="13">
        <v>2.2999999999999998</v>
      </c>
      <c r="J167" s="13">
        <f t="shared" si="26"/>
        <v>1</v>
      </c>
      <c r="K167" s="13">
        <v>4</v>
      </c>
      <c r="L167" s="13">
        <f t="shared" si="27"/>
        <v>1</v>
      </c>
      <c r="M167" s="14">
        <v>6.9444444444444441E-3</v>
      </c>
      <c r="N167" s="13">
        <v>1</v>
      </c>
      <c r="O167" s="13" t="str">
        <f t="shared" si="29"/>
        <v>COINCIDE</v>
      </c>
      <c r="P167" s="13" t="s">
        <v>132</v>
      </c>
      <c r="Q167" s="13" t="s">
        <v>22</v>
      </c>
      <c r="R167" s="13" t="s">
        <v>23</v>
      </c>
      <c r="S167" s="6"/>
      <c r="T167" s="6"/>
      <c r="U167" s="6"/>
      <c r="V167" s="6"/>
      <c r="W167" s="6"/>
      <c r="X167" s="6"/>
      <c r="Y167" s="6"/>
    </row>
    <row r="168" spans="1:25" ht="15.75" customHeight="1">
      <c r="A168" s="13" t="s">
        <v>18</v>
      </c>
      <c r="B168" s="13">
        <v>700058000</v>
      </c>
      <c r="C168" s="13">
        <v>7000109</v>
      </c>
      <c r="D168" s="13">
        <v>5400</v>
      </c>
      <c r="E168" s="13">
        <v>-68.557726799999998</v>
      </c>
      <c r="F168" s="13">
        <v>-31.533197900000001</v>
      </c>
      <c r="G168" s="13" t="s">
        <v>134</v>
      </c>
      <c r="H168" s="13" t="s">
        <v>20</v>
      </c>
      <c r="I168" s="13">
        <v>3.14</v>
      </c>
      <c r="J168" s="13">
        <f t="shared" si="26"/>
        <v>1</v>
      </c>
      <c r="K168" s="13">
        <v>4</v>
      </c>
      <c r="L168" s="13">
        <f t="shared" si="27"/>
        <v>1</v>
      </c>
      <c r="M168" s="14">
        <v>6.2499999999999995E-3</v>
      </c>
      <c r="N168" s="13">
        <v>1</v>
      </c>
      <c r="O168" s="13" t="str">
        <f t="shared" si="29"/>
        <v>COINCIDE</v>
      </c>
      <c r="P168" s="13" t="s">
        <v>132</v>
      </c>
      <c r="Q168" s="13" t="s">
        <v>22</v>
      </c>
      <c r="R168" s="13" t="s">
        <v>23</v>
      </c>
      <c r="S168" s="6"/>
      <c r="T168" s="6"/>
      <c r="U168" s="6"/>
      <c r="V168" s="6"/>
      <c r="W168" s="6"/>
      <c r="X168" s="6"/>
      <c r="Y168" s="6"/>
    </row>
    <row r="169" spans="1:25" ht="15.75" customHeight="1">
      <c r="A169" s="13" t="s">
        <v>38</v>
      </c>
      <c r="B169" s="13">
        <v>700027700</v>
      </c>
      <c r="C169" s="13">
        <v>7000110</v>
      </c>
      <c r="D169" s="13">
        <v>5400</v>
      </c>
      <c r="E169" s="13">
        <v>-68.554998800000007</v>
      </c>
      <c r="F169" s="13">
        <v>-31.527488699999999</v>
      </c>
      <c r="G169" s="13" t="s">
        <v>166</v>
      </c>
      <c r="H169" s="13" t="s">
        <v>20</v>
      </c>
      <c r="I169" s="13">
        <v>3.02</v>
      </c>
      <c r="J169" s="13">
        <f t="shared" si="26"/>
        <v>1</v>
      </c>
      <c r="K169" s="13">
        <v>4</v>
      </c>
      <c r="L169" s="13">
        <f t="shared" si="27"/>
        <v>1</v>
      </c>
      <c r="M169" s="14">
        <v>6.2499999999999995E-3</v>
      </c>
      <c r="N169" s="13">
        <v>1</v>
      </c>
      <c r="O169" s="13" t="str">
        <f t="shared" si="29"/>
        <v>COINCIDE</v>
      </c>
      <c r="P169" s="13" t="s">
        <v>132</v>
      </c>
      <c r="Q169" s="13" t="s">
        <v>22</v>
      </c>
      <c r="R169" s="13" t="s">
        <v>23</v>
      </c>
      <c r="S169" s="6"/>
      <c r="T169" s="6"/>
      <c r="U169" s="6"/>
      <c r="V169" s="6"/>
      <c r="W169" s="6"/>
      <c r="X169" s="6"/>
      <c r="Y169" s="6"/>
    </row>
    <row r="170" spans="1:25" ht="15.75" customHeight="1">
      <c r="A170" s="13" t="s">
        <v>18</v>
      </c>
      <c r="B170" s="13">
        <v>700027100</v>
      </c>
      <c r="C170" s="13">
        <v>7000113</v>
      </c>
      <c r="D170" s="13">
        <v>5400</v>
      </c>
      <c r="E170" s="13">
        <v>-68.555569899999995</v>
      </c>
      <c r="F170" s="13">
        <v>-31.5201305</v>
      </c>
      <c r="G170" s="13" t="s">
        <v>166</v>
      </c>
      <c r="H170" s="13" t="s">
        <v>20</v>
      </c>
      <c r="I170" s="13">
        <v>3.47</v>
      </c>
      <c r="J170" s="13">
        <f t="shared" si="26"/>
        <v>1</v>
      </c>
      <c r="K170" s="13">
        <v>4</v>
      </c>
      <c r="L170" s="13">
        <f t="shared" si="27"/>
        <v>1</v>
      </c>
      <c r="M170" s="14">
        <v>6.9444444444444441E-3</v>
      </c>
      <c r="N170" s="13">
        <v>1</v>
      </c>
      <c r="O170" s="13" t="str">
        <f t="shared" si="29"/>
        <v>COINCIDE</v>
      </c>
      <c r="P170" s="13" t="s">
        <v>132</v>
      </c>
      <c r="Q170" s="13" t="s">
        <v>22</v>
      </c>
      <c r="R170" s="13" t="s">
        <v>23</v>
      </c>
      <c r="S170" s="6"/>
      <c r="T170" s="6"/>
      <c r="U170" s="6"/>
      <c r="V170" s="6"/>
      <c r="W170" s="6"/>
      <c r="X170" s="6"/>
      <c r="Y170" s="6"/>
    </row>
    <row r="171" spans="1:25" ht="15.75" customHeight="1">
      <c r="A171" s="13" t="s">
        <v>18</v>
      </c>
      <c r="B171" s="13">
        <v>700011900</v>
      </c>
      <c r="C171" s="13">
        <v>7000114</v>
      </c>
      <c r="D171" s="13">
        <v>5400</v>
      </c>
      <c r="E171" s="13">
        <v>-68.521908600000003</v>
      </c>
      <c r="F171" s="13">
        <v>-31.558435100000001</v>
      </c>
      <c r="G171" s="13" t="s">
        <v>134</v>
      </c>
      <c r="H171" s="13" t="s">
        <v>20</v>
      </c>
      <c r="I171" s="13">
        <v>2.37</v>
      </c>
      <c r="J171" s="13">
        <f t="shared" si="26"/>
        <v>1</v>
      </c>
      <c r="K171" s="13">
        <v>3</v>
      </c>
      <c r="L171" s="13">
        <f t="shared" si="27"/>
        <v>1</v>
      </c>
      <c r="M171" s="14">
        <v>5.5555555555555558E-3</v>
      </c>
      <c r="N171" s="13">
        <v>1</v>
      </c>
      <c r="O171" s="13" t="str">
        <f t="shared" si="29"/>
        <v>COINCIDE</v>
      </c>
      <c r="P171" s="13" t="s">
        <v>132</v>
      </c>
      <c r="Q171" s="13" t="s">
        <v>22</v>
      </c>
      <c r="R171" s="13" t="s">
        <v>23</v>
      </c>
      <c r="S171" s="6"/>
      <c r="T171" s="6"/>
      <c r="U171" s="6"/>
      <c r="V171" s="6"/>
      <c r="W171" s="6"/>
      <c r="X171" s="6"/>
      <c r="Y171" s="6"/>
    </row>
    <row r="172" spans="1:25" ht="15.75" customHeight="1">
      <c r="A172" s="13" t="s">
        <v>18</v>
      </c>
      <c r="B172" s="13">
        <v>700058300</v>
      </c>
      <c r="C172" s="13">
        <v>7000115</v>
      </c>
      <c r="D172" s="13">
        <v>5400</v>
      </c>
      <c r="E172" s="13">
        <v>-68.521888099999998</v>
      </c>
      <c r="F172" s="13">
        <v>-31.552904099999999</v>
      </c>
      <c r="G172" s="13" t="s">
        <v>134</v>
      </c>
      <c r="H172" s="13" t="s">
        <v>20</v>
      </c>
      <c r="I172" s="13">
        <v>1.79</v>
      </c>
      <c r="J172" s="13">
        <f t="shared" si="26"/>
        <v>1</v>
      </c>
      <c r="K172" s="13">
        <v>2</v>
      </c>
      <c r="L172" s="13">
        <f t="shared" si="27"/>
        <v>1</v>
      </c>
      <c r="M172" s="14">
        <v>4.1666666666666666E-3</v>
      </c>
      <c r="N172" s="13">
        <v>1</v>
      </c>
      <c r="O172" s="13" t="str">
        <f t="shared" si="29"/>
        <v>COINCIDE</v>
      </c>
      <c r="P172" s="13" t="s">
        <v>132</v>
      </c>
      <c r="Q172" s="13" t="s">
        <v>22</v>
      </c>
      <c r="R172" s="13" t="s">
        <v>23</v>
      </c>
      <c r="S172" s="6"/>
      <c r="T172" s="6"/>
      <c r="U172" s="6"/>
      <c r="V172" s="6"/>
      <c r="W172" s="6"/>
      <c r="X172" s="6"/>
      <c r="Y172" s="6"/>
    </row>
    <row r="173" spans="1:25" ht="15.75" customHeight="1">
      <c r="A173" s="13" t="s">
        <v>18</v>
      </c>
      <c r="B173" s="13">
        <v>700045600</v>
      </c>
      <c r="C173" s="13">
        <v>7000116</v>
      </c>
      <c r="D173" s="13">
        <v>5400</v>
      </c>
      <c r="E173" s="13">
        <v>-68.512548899999999</v>
      </c>
      <c r="F173" s="13">
        <v>-31.5469659</v>
      </c>
      <c r="G173" s="13" t="s">
        <v>134</v>
      </c>
      <c r="H173" s="13" t="s">
        <v>20</v>
      </c>
      <c r="I173" s="13">
        <v>1.62</v>
      </c>
      <c r="J173" s="13">
        <f t="shared" si="26"/>
        <v>1</v>
      </c>
      <c r="K173" s="13">
        <v>2</v>
      </c>
      <c r="L173" s="13">
        <f t="shared" si="27"/>
        <v>1</v>
      </c>
      <c r="M173" s="14">
        <v>5.5555555555555558E-3</v>
      </c>
      <c r="N173" s="13">
        <v>1</v>
      </c>
      <c r="O173" s="13" t="str">
        <f t="shared" si="29"/>
        <v>COINCIDE</v>
      </c>
      <c r="P173" s="13" t="s">
        <v>132</v>
      </c>
      <c r="Q173" s="13" t="s">
        <v>22</v>
      </c>
      <c r="R173" s="13" t="s">
        <v>23</v>
      </c>
      <c r="S173" s="6"/>
      <c r="T173" s="6"/>
      <c r="U173" s="6"/>
      <c r="V173" s="6"/>
      <c r="W173" s="6"/>
      <c r="X173" s="6"/>
      <c r="Y173" s="6"/>
    </row>
    <row r="174" spans="1:25" ht="15.75" customHeight="1">
      <c r="A174" s="13" t="s">
        <v>40</v>
      </c>
      <c r="B174" s="13">
        <v>700033400</v>
      </c>
      <c r="C174" s="13">
        <v>7000117</v>
      </c>
      <c r="D174" s="13">
        <v>5400</v>
      </c>
      <c r="E174" s="13">
        <v>-68.519440700000004</v>
      </c>
      <c r="F174" s="13">
        <v>-31.5543494</v>
      </c>
      <c r="G174" s="13" t="s">
        <v>134</v>
      </c>
      <c r="H174" s="13" t="s">
        <v>20</v>
      </c>
      <c r="I174" s="13">
        <v>1.98</v>
      </c>
      <c r="J174" s="13">
        <f t="shared" si="26"/>
        <v>1</v>
      </c>
      <c r="K174" s="13">
        <v>3</v>
      </c>
      <c r="L174" s="13">
        <f t="shared" si="27"/>
        <v>1</v>
      </c>
      <c r="M174" s="14">
        <v>4.8611111111111112E-3</v>
      </c>
      <c r="N174" s="13">
        <v>1</v>
      </c>
      <c r="O174" s="13" t="str">
        <f t="shared" si="29"/>
        <v>COINCIDE</v>
      </c>
      <c r="P174" s="13" t="s">
        <v>132</v>
      </c>
      <c r="Q174" s="13" t="s">
        <v>22</v>
      </c>
      <c r="R174" s="13" t="s">
        <v>23</v>
      </c>
      <c r="S174" s="6"/>
      <c r="T174" s="6"/>
      <c r="U174" s="6"/>
      <c r="V174" s="6"/>
      <c r="W174" s="6"/>
      <c r="X174" s="6"/>
      <c r="Y174" s="6"/>
    </row>
    <row r="175" spans="1:25" ht="15.75" customHeight="1">
      <c r="A175" s="13" t="s">
        <v>40</v>
      </c>
      <c r="B175" s="13">
        <v>700045900</v>
      </c>
      <c r="C175" s="13">
        <v>7000118</v>
      </c>
      <c r="D175" s="13">
        <v>5400</v>
      </c>
      <c r="E175" s="13">
        <v>-68.527946299999996</v>
      </c>
      <c r="F175" s="13">
        <v>-31.547346300000001</v>
      </c>
      <c r="G175" s="13" t="s">
        <v>134</v>
      </c>
      <c r="H175" s="13" t="s">
        <v>20</v>
      </c>
      <c r="I175" s="13">
        <v>1.1599999999999999</v>
      </c>
      <c r="J175" s="13">
        <f t="shared" si="26"/>
        <v>1</v>
      </c>
      <c r="K175" s="13">
        <v>2</v>
      </c>
      <c r="L175" s="13">
        <f t="shared" si="27"/>
        <v>1</v>
      </c>
      <c r="M175" s="14">
        <v>3.472222222222222E-3</v>
      </c>
      <c r="N175" s="13">
        <v>1</v>
      </c>
      <c r="O175" s="13" t="str">
        <f t="shared" si="29"/>
        <v>COINCIDE</v>
      </c>
      <c r="P175" s="13" t="s">
        <v>132</v>
      </c>
      <c r="Q175" s="13" t="s">
        <v>22</v>
      </c>
      <c r="R175" s="13" t="s">
        <v>23</v>
      </c>
      <c r="S175" s="6"/>
      <c r="T175" s="6"/>
      <c r="U175" s="6"/>
      <c r="V175" s="6"/>
      <c r="W175" s="6"/>
      <c r="X175" s="6"/>
      <c r="Y175" s="6"/>
    </row>
    <row r="176" spans="1:25" ht="12.75" customHeight="1">
      <c r="A176" s="13" t="s">
        <v>18</v>
      </c>
      <c r="B176" s="13">
        <v>700060700</v>
      </c>
      <c r="C176" s="13">
        <v>7000119</v>
      </c>
      <c r="D176" s="13">
        <v>5400</v>
      </c>
      <c r="E176" s="13">
        <v>-68.541516200000004</v>
      </c>
      <c r="F176" s="13">
        <v>-31.551727700000001</v>
      </c>
      <c r="G176" s="13" t="s">
        <v>133</v>
      </c>
      <c r="H176" s="13" t="s">
        <v>20</v>
      </c>
      <c r="I176" s="13">
        <v>2.25</v>
      </c>
      <c r="J176" s="13">
        <f t="shared" si="26"/>
        <v>1</v>
      </c>
      <c r="K176" s="13">
        <v>3</v>
      </c>
      <c r="L176" s="13">
        <f t="shared" si="27"/>
        <v>1</v>
      </c>
      <c r="M176" s="14">
        <v>5.5555555555555558E-3</v>
      </c>
      <c r="N176" s="13">
        <v>1</v>
      </c>
      <c r="O176" s="13" t="str">
        <f t="shared" si="29"/>
        <v>COINCIDE</v>
      </c>
      <c r="P176" s="13" t="s">
        <v>132</v>
      </c>
      <c r="Q176" s="13" t="s">
        <v>22</v>
      </c>
      <c r="R176" s="13" t="s">
        <v>23</v>
      </c>
      <c r="S176" s="6"/>
      <c r="T176" s="6"/>
      <c r="U176" s="6"/>
      <c r="V176" s="6"/>
      <c r="W176" s="6"/>
      <c r="X176" s="6"/>
      <c r="Y176" s="6"/>
    </row>
    <row r="177" spans="1:25" ht="15.75" customHeight="1">
      <c r="A177" s="13" t="s">
        <v>42</v>
      </c>
      <c r="B177" s="13">
        <v>700010100</v>
      </c>
      <c r="C177" s="13">
        <v>7050086</v>
      </c>
      <c r="D177" s="13">
        <v>5400</v>
      </c>
      <c r="E177" s="13">
        <v>-68.530510000000007</v>
      </c>
      <c r="F177" s="13">
        <v>-31.533549300000001</v>
      </c>
      <c r="G177" s="13" t="s">
        <v>132</v>
      </c>
      <c r="H177" s="13" t="s">
        <v>20</v>
      </c>
      <c r="I177" s="13">
        <v>0.66</v>
      </c>
      <c r="J177" s="13">
        <f t="shared" si="26"/>
        <v>1</v>
      </c>
      <c r="K177" s="13">
        <v>0.83</v>
      </c>
      <c r="L177" s="13">
        <f t="shared" si="27"/>
        <v>1</v>
      </c>
      <c r="M177" s="14">
        <v>2.0833333333333333E-3</v>
      </c>
      <c r="N177" s="13">
        <v>1</v>
      </c>
      <c r="O177" s="13" t="str">
        <f t="shared" si="29"/>
        <v>COINCIDE</v>
      </c>
      <c r="P177" s="13" t="s">
        <v>132</v>
      </c>
      <c r="Q177" s="13" t="s">
        <v>22</v>
      </c>
      <c r="R177" s="13" t="s">
        <v>168</v>
      </c>
      <c r="S177" s="6"/>
      <c r="T177" s="6"/>
      <c r="U177" s="6"/>
      <c r="V177" s="6"/>
      <c r="W177" s="6"/>
      <c r="X177" s="6"/>
      <c r="Y177" s="6"/>
    </row>
    <row r="178" spans="1:25" ht="15.75" customHeight="1">
      <c r="A178" s="13" t="s">
        <v>42</v>
      </c>
      <c r="B178" s="13">
        <v>700033500</v>
      </c>
      <c r="C178" s="13">
        <v>7050260</v>
      </c>
      <c r="D178" s="13">
        <v>5400</v>
      </c>
      <c r="E178" s="13">
        <v>-68.5216286</v>
      </c>
      <c r="F178" s="13">
        <v>-31.552476599999999</v>
      </c>
      <c r="G178" s="13" t="s">
        <v>134</v>
      </c>
      <c r="H178" s="13" t="s">
        <v>20</v>
      </c>
      <c r="I178" s="13">
        <v>1.76</v>
      </c>
      <c r="J178" s="13">
        <f t="shared" si="26"/>
        <v>1</v>
      </c>
      <c r="K178" s="13">
        <v>2</v>
      </c>
      <c r="L178" s="13">
        <f t="shared" si="27"/>
        <v>1</v>
      </c>
      <c r="M178" s="14">
        <v>4.1666666666666666E-3</v>
      </c>
      <c r="N178" s="13">
        <v>1</v>
      </c>
      <c r="O178" s="13" t="str">
        <f t="shared" si="29"/>
        <v>COINCIDE</v>
      </c>
      <c r="P178" s="13" t="s">
        <v>132</v>
      </c>
      <c r="Q178" s="13" t="s">
        <v>22</v>
      </c>
      <c r="R178" s="13" t="s">
        <v>169</v>
      </c>
      <c r="S178" s="6"/>
      <c r="T178" s="6"/>
      <c r="U178" s="6"/>
      <c r="V178" s="6"/>
      <c r="W178" s="6"/>
      <c r="X178" s="6"/>
      <c r="Y178" s="6"/>
    </row>
    <row r="179" spans="1:25" ht="15.75" customHeight="1">
      <c r="A179" s="13" t="s">
        <v>42</v>
      </c>
      <c r="B179" s="13" t="s">
        <v>170</v>
      </c>
      <c r="C179" s="13" t="s">
        <v>171</v>
      </c>
      <c r="D179" s="13" t="s">
        <v>172</v>
      </c>
      <c r="E179" s="13">
        <v>-68.525297199999997</v>
      </c>
      <c r="F179" s="13">
        <v>-31.525297200000001</v>
      </c>
      <c r="G179" s="13" t="s">
        <v>132</v>
      </c>
      <c r="H179" s="13" t="s">
        <v>20</v>
      </c>
      <c r="I179" s="13">
        <v>1.34</v>
      </c>
      <c r="J179" s="13">
        <f t="shared" si="26"/>
        <v>1</v>
      </c>
      <c r="K179" s="13">
        <v>2</v>
      </c>
      <c r="L179" s="13">
        <f t="shared" si="27"/>
        <v>1</v>
      </c>
      <c r="M179" s="14">
        <v>3.472222222222222E-3</v>
      </c>
      <c r="N179" s="13">
        <v>1</v>
      </c>
      <c r="O179" s="13" t="str">
        <f t="shared" si="29"/>
        <v>COINCIDE</v>
      </c>
      <c r="P179" s="13" t="s">
        <v>132</v>
      </c>
      <c r="Q179" s="13" t="s">
        <v>22</v>
      </c>
      <c r="R179" s="13" t="s">
        <v>173</v>
      </c>
      <c r="S179" s="6"/>
      <c r="T179" s="6"/>
      <c r="U179" s="6"/>
      <c r="V179" s="6"/>
      <c r="W179" s="6"/>
      <c r="X179" s="6"/>
      <c r="Y179" s="6"/>
    </row>
    <row r="180" spans="1:25" ht="15.75" customHeight="1">
      <c r="A180" s="13" t="s">
        <v>42</v>
      </c>
      <c r="B180" s="13">
        <v>700042100</v>
      </c>
      <c r="C180" s="13">
        <v>7050312</v>
      </c>
      <c r="D180" s="13">
        <v>5400</v>
      </c>
      <c r="E180" s="13">
        <v>-68.523939299999995</v>
      </c>
      <c r="F180" s="13">
        <v>-31.539847699999999</v>
      </c>
      <c r="G180" s="13" t="s">
        <v>132</v>
      </c>
      <c r="H180" s="13" t="s">
        <v>20</v>
      </c>
      <c r="I180" s="13">
        <v>0.31</v>
      </c>
      <c r="J180" s="13">
        <f t="shared" si="26"/>
        <v>1</v>
      </c>
      <c r="K180" s="13">
        <v>0.66</v>
      </c>
      <c r="L180" s="13">
        <f t="shared" si="27"/>
        <v>1</v>
      </c>
      <c r="M180" s="14">
        <v>2.0833333333333333E-3</v>
      </c>
      <c r="N180" s="13">
        <v>1</v>
      </c>
      <c r="O180" s="13" t="str">
        <f t="shared" si="29"/>
        <v>COINCIDE</v>
      </c>
      <c r="P180" s="13" t="s">
        <v>132</v>
      </c>
      <c r="Q180" s="13" t="s">
        <v>22</v>
      </c>
      <c r="R180" s="13" t="s">
        <v>23</v>
      </c>
      <c r="S180" s="6"/>
      <c r="T180" s="6"/>
      <c r="U180" s="6"/>
      <c r="V180" s="6"/>
      <c r="W180" s="6"/>
      <c r="X180" s="6"/>
      <c r="Y180" s="6"/>
    </row>
    <row r="181" spans="1:25" ht="15.75" customHeight="1">
      <c r="A181" s="13" t="s">
        <v>40</v>
      </c>
      <c r="B181" s="13">
        <v>700065200</v>
      </c>
      <c r="C181" s="13">
        <v>7100005</v>
      </c>
      <c r="D181" s="13">
        <v>5400</v>
      </c>
      <c r="E181" s="13">
        <v>-68.523221800000002</v>
      </c>
      <c r="F181" s="13">
        <v>-31.516780199999999</v>
      </c>
      <c r="G181" s="13" t="s">
        <v>132</v>
      </c>
      <c r="H181" s="13" t="s">
        <v>20</v>
      </c>
      <c r="I181" s="13">
        <v>2.2999999999999998</v>
      </c>
      <c r="J181" s="13">
        <f t="shared" si="26"/>
        <v>1</v>
      </c>
      <c r="K181" s="13">
        <v>3</v>
      </c>
      <c r="L181" s="13">
        <f t="shared" si="27"/>
        <v>1</v>
      </c>
      <c r="M181" s="14">
        <v>5.5555555555555558E-3</v>
      </c>
      <c r="N181" s="13">
        <v>1</v>
      </c>
      <c r="O181" s="13" t="str">
        <f t="shared" si="29"/>
        <v>COINCIDE</v>
      </c>
      <c r="P181" s="13" t="s">
        <v>132</v>
      </c>
      <c r="Q181" s="13" t="s">
        <v>22</v>
      </c>
      <c r="R181" s="13" t="s">
        <v>23</v>
      </c>
      <c r="S181" s="6"/>
      <c r="T181" s="6"/>
      <c r="U181" s="6"/>
      <c r="V181" s="6"/>
      <c r="W181" s="6"/>
      <c r="X181" s="6"/>
      <c r="Y181" s="6"/>
    </row>
    <row r="182" spans="1:25" ht="15.75" customHeight="1">
      <c r="A182" s="13" t="s">
        <v>174</v>
      </c>
      <c r="B182" s="13">
        <v>700069801</v>
      </c>
      <c r="C182" s="13">
        <v>7100068</v>
      </c>
      <c r="D182" s="13">
        <v>5400</v>
      </c>
      <c r="E182" s="13">
        <v>-68.523827100000005</v>
      </c>
      <c r="F182" s="13">
        <v>-31.520924300000001</v>
      </c>
      <c r="G182" s="13" t="s">
        <v>133</v>
      </c>
      <c r="H182" s="13" t="s">
        <v>20</v>
      </c>
      <c r="I182" s="13">
        <v>1.78</v>
      </c>
      <c r="J182" s="13">
        <f t="shared" si="26"/>
        <v>1</v>
      </c>
      <c r="K182" s="13">
        <v>2</v>
      </c>
      <c r="L182" s="13">
        <f t="shared" si="27"/>
        <v>1</v>
      </c>
      <c r="M182" s="14">
        <v>4.8611111111111112E-3</v>
      </c>
      <c r="N182" s="13">
        <v>1</v>
      </c>
      <c r="O182" s="13" t="str">
        <f t="shared" si="29"/>
        <v>COINCIDE</v>
      </c>
      <c r="P182" s="13" t="s">
        <v>132</v>
      </c>
      <c r="Q182" s="13" t="s">
        <v>22</v>
      </c>
      <c r="R182" s="13" t="s">
        <v>23</v>
      </c>
      <c r="S182" s="6"/>
      <c r="T182" s="6"/>
      <c r="U182" s="6"/>
      <c r="V182" s="6"/>
      <c r="W182" s="6"/>
      <c r="X182" s="6"/>
      <c r="Y182" s="6"/>
    </row>
    <row r="183" spans="1:25" ht="15.75" customHeight="1">
      <c r="A183" s="13" t="s">
        <v>62</v>
      </c>
      <c r="B183" s="13">
        <v>700062600</v>
      </c>
      <c r="C183" s="13">
        <v>7100099</v>
      </c>
      <c r="D183" s="13">
        <v>5400</v>
      </c>
      <c r="E183" s="13">
        <v>-68.553138799999999</v>
      </c>
      <c r="F183" s="13">
        <v>-31.534769099999998</v>
      </c>
      <c r="G183" s="13" t="s">
        <v>132</v>
      </c>
      <c r="H183" s="13" t="s">
        <v>20</v>
      </c>
      <c r="I183" s="13">
        <v>2.68</v>
      </c>
      <c r="J183" s="13">
        <f t="shared" si="26"/>
        <v>1</v>
      </c>
      <c r="K183" s="13">
        <v>3</v>
      </c>
      <c r="L183" s="13">
        <f t="shared" si="27"/>
        <v>1</v>
      </c>
      <c r="M183" s="14">
        <v>4.8611111111111112E-3</v>
      </c>
      <c r="N183" s="13">
        <v>1</v>
      </c>
      <c r="O183" s="13" t="str">
        <f t="shared" si="29"/>
        <v>COINCIDE</v>
      </c>
      <c r="P183" s="13" t="s">
        <v>132</v>
      </c>
      <c r="Q183" s="13" t="s">
        <v>22</v>
      </c>
      <c r="R183" s="13" t="s">
        <v>23</v>
      </c>
      <c r="S183" s="6"/>
      <c r="T183" s="6"/>
      <c r="U183" s="6"/>
      <c r="V183" s="6"/>
      <c r="W183" s="6"/>
      <c r="X183" s="6"/>
      <c r="Y183" s="6"/>
    </row>
    <row r="184" spans="1:25" ht="15.75" customHeight="1">
      <c r="A184" s="11" t="s">
        <v>18</v>
      </c>
      <c r="B184" s="11">
        <v>700089900</v>
      </c>
      <c r="C184" s="11" t="s">
        <v>175</v>
      </c>
      <c r="D184" s="11">
        <v>5400</v>
      </c>
      <c r="E184" s="11">
        <v>-68.512638800000005</v>
      </c>
      <c r="F184" s="11">
        <v>-31.507694399999998</v>
      </c>
      <c r="G184" s="11" t="s">
        <v>176</v>
      </c>
      <c r="H184" s="11" t="s">
        <v>20</v>
      </c>
      <c r="I184" s="11">
        <v>3.46</v>
      </c>
      <c r="J184" s="11">
        <f t="shared" si="26"/>
        <v>1</v>
      </c>
      <c r="K184" s="11">
        <v>5</v>
      </c>
      <c r="L184" s="11">
        <f t="shared" si="27"/>
        <v>2</v>
      </c>
      <c r="M184" s="12">
        <v>7.6388888888888886E-3</v>
      </c>
      <c r="N184" s="11">
        <v>1</v>
      </c>
      <c r="O184" s="11" t="str">
        <f>IF(AVERAGE(J184,L184)=N184,"COINCIDE",IF(L184=N184,"INCONGRUENTE",IF(N184=7,"COINCIDE","DISTINTO")))</f>
        <v>DISTINTO</v>
      </c>
      <c r="P184" s="11" t="s">
        <v>132</v>
      </c>
      <c r="Q184" s="11" t="s">
        <v>22</v>
      </c>
      <c r="R184" s="11" t="s">
        <v>23</v>
      </c>
      <c r="S184" s="6"/>
      <c r="T184" s="6"/>
      <c r="U184" s="6"/>
      <c r="V184" s="6"/>
      <c r="W184" s="6"/>
      <c r="X184" s="6"/>
      <c r="Y184" s="6"/>
    </row>
    <row r="185" spans="1:25" ht="15.75" customHeight="1">
      <c r="A185" s="13" t="s">
        <v>136</v>
      </c>
      <c r="B185" s="13">
        <v>700044100</v>
      </c>
      <c r="C185" s="13" t="s">
        <v>177</v>
      </c>
      <c r="D185" s="13">
        <v>5400</v>
      </c>
      <c r="E185" s="13">
        <v>-68.526374599999997</v>
      </c>
      <c r="F185" s="13">
        <v>-31.532854199999999</v>
      </c>
      <c r="G185" s="13" t="s">
        <v>132</v>
      </c>
      <c r="H185" s="13" t="s">
        <v>20</v>
      </c>
      <c r="I185" s="13">
        <v>0.49</v>
      </c>
      <c r="J185" s="13">
        <f t="shared" si="26"/>
        <v>1</v>
      </c>
      <c r="K185" s="13">
        <v>0.98</v>
      </c>
      <c r="L185" s="13">
        <f t="shared" si="27"/>
        <v>1</v>
      </c>
      <c r="M185" s="14">
        <v>2.7777777777777779E-3</v>
      </c>
      <c r="N185" s="13">
        <v>1</v>
      </c>
      <c r="O185" s="13" t="str">
        <f t="shared" ref="O185:O187" si="30">IF(AVERAGE(J185,L185)=N185,"COINCIDE",IF(L185=N185,"INCONGRUENTE","DISTINTO"))</f>
        <v>COINCIDE</v>
      </c>
      <c r="P185" s="13" t="s">
        <v>132</v>
      </c>
      <c r="Q185" s="13" t="s">
        <v>22</v>
      </c>
      <c r="R185" s="13" t="s">
        <v>23</v>
      </c>
      <c r="S185" s="6"/>
      <c r="T185" s="6"/>
      <c r="U185" s="6"/>
      <c r="V185" s="6"/>
      <c r="W185" s="6"/>
      <c r="X185" s="6"/>
      <c r="Y185" s="6"/>
    </row>
    <row r="186" spans="1:25" ht="15.75" customHeight="1">
      <c r="A186" s="13" t="s">
        <v>28</v>
      </c>
      <c r="B186" s="13">
        <v>700068100</v>
      </c>
      <c r="C186" s="13" t="s">
        <v>178</v>
      </c>
      <c r="D186" s="13">
        <v>5400</v>
      </c>
      <c r="E186" s="13">
        <v>-68.531580689999998</v>
      </c>
      <c r="F186" s="13">
        <v>-31.54110249</v>
      </c>
      <c r="G186" s="13" t="s">
        <v>132</v>
      </c>
      <c r="H186" s="13" t="s">
        <v>20</v>
      </c>
      <c r="I186" s="13">
        <v>0.76</v>
      </c>
      <c r="J186" s="13">
        <f t="shared" si="26"/>
        <v>1</v>
      </c>
      <c r="K186" s="13">
        <v>1</v>
      </c>
      <c r="L186" s="13">
        <f t="shared" si="27"/>
        <v>1</v>
      </c>
      <c r="M186" s="14">
        <v>2.0833333333333333E-3</v>
      </c>
      <c r="N186" s="13">
        <v>1</v>
      </c>
      <c r="O186" s="13" t="str">
        <f t="shared" si="30"/>
        <v>COINCIDE</v>
      </c>
      <c r="P186" s="13" t="s">
        <v>132</v>
      </c>
      <c r="Q186" s="13" t="s">
        <v>22</v>
      </c>
      <c r="R186" s="13" t="s">
        <v>179</v>
      </c>
      <c r="S186" s="6"/>
      <c r="T186" s="6"/>
      <c r="U186" s="6"/>
      <c r="V186" s="6"/>
      <c r="W186" s="6"/>
      <c r="X186" s="6"/>
      <c r="Y186" s="6"/>
    </row>
    <row r="187" spans="1:25" ht="15.75" customHeight="1">
      <c r="A187" s="15" t="s">
        <v>180</v>
      </c>
      <c r="B187" s="15">
        <v>700031401</v>
      </c>
      <c r="C187" s="15">
        <v>7000157</v>
      </c>
      <c r="D187" s="15">
        <v>5400</v>
      </c>
      <c r="E187" s="15">
        <v>0</v>
      </c>
      <c r="F187" s="15">
        <v>0</v>
      </c>
      <c r="G187" s="15" t="s">
        <v>132</v>
      </c>
      <c r="H187" s="15" t="s">
        <v>20</v>
      </c>
      <c r="I187" s="15">
        <v>0</v>
      </c>
      <c r="J187" s="15">
        <f t="shared" si="26"/>
        <v>1</v>
      </c>
      <c r="K187" s="15">
        <v>0</v>
      </c>
      <c r="L187" s="15">
        <f t="shared" si="27"/>
        <v>1</v>
      </c>
      <c r="M187" s="15"/>
      <c r="N187" s="15">
        <v>1</v>
      </c>
      <c r="O187" s="15" t="str">
        <f t="shared" si="30"/>
        <v>COINCIDE</v>
      </c>
      <c r="P187" s="15" t="s">
        <v>132</v>
      </c>
      <c r="Q187" s="15" t="s">
        <v>22</v>
      </c>
      <c r="R187" s="15" t="s">
        <v>23</v>
      </c>
      <c r="S187" s="6"/>
      <c r="T187" s="6"/>
      <c r="U187" s="6"/>
      <c r="V187" s="6"/>
      <c r="W187" s="6"/>
      <c r="X187" s="6"/>
      <c r="Y187" s="6"/>
    </row>
    <row r="188" spans="1:25" ht="15.75" customHeight="1">
      <c r="A188" s="11" t="s">
        <v>40</v>
      </c>
      <c r="B188" s="11">
        <v>700016600</v>
      </c>
      <c r="C188" s="11">
        <v>7000153</v>
      </c>
      <c r="D188" s="11">
        <v>5413</v>
      </c>
      <c r="E188" s="11">
        <v>-68.604777299999995</v>
      </c>
      <c r="F188" s="11">
        <v>-31.510390600000001</v>
      </c>
      <c r="G188" s="11" t="s">
        <v>181</v>
      </c>
      <c r="H188" s="11" t="s">
        <v>20</v>
      </c>
      <c r="I188" s="11">
        <v>8.2200000000000006</v>
      </c>
      <c r="J188" s="11">
        <f t="shared" si="26"/>
        <v>2</v>
      </c>
      <c r="K188" s="11">
        <v>10</v>
      </c>
      <c r="L188" s="11">
        <f t="shared" si="27"/>
        <v>2</v>
      </c>
      <c r="M188" s="12">
        <v>1.4583333333333332E-2</v>
      </c>
      <c r="N188" s="11">
        <v>4</v>
      </c>
      <c r="O188" s="11" t="str">
        <f t="shared" ref="O188:O189" si="31">IF(AVERAGE(J188,L188)=N188,"COINCIDE",IF(L188=N188,"INCONGRUENTE",IF(N188=7,"COINCIDE","DISTINTO")))</f>
        <v>DISTINTO</v>
      </c>
      <c r="P188" s="11" t="s">
        <v>182</v>
      </c>
      <c r="Q188" s="11" t="s">
        <v>22</v>
      </c>
      <c r="R188" s="11" t="s">
        <v>23</v>
      </c>
      <c r="S188" s="6"/>
      <c r="T188" s="6"/>
      <c r="U188" s="6"/>
      <c r="V188" s="6"/>
      <c r="W188" s="6"/>
      <c r="X188" s="6"/>
      <c r="Y188" s="6"/>
    </row>
    <row r="189" spans="1:25" ht="15.75" customHeight="1">
      <c r="A189" s="11" t="s">
        <v>18</v>
      </c>
      <c r="B189" s="11">
        <v>700004200</v>
      </c>
      <c r="C189" s="11">
        <v>7000155</v>
      </c>
      <c r="D189" s="11">
        <v>5413</v>
      </c>
      <c r="E189" s="11">
        <v>-68.522498100000007</v>
      </c>
      <c r="F189" s="11">
        <v>-31.505962700000001</v>
      </c>
      <c r="G189" s="11" t="s">
        <v>183</v>
      </c>
      <c r="H189" s="11" t="s">
        <v>20</v>
      </c>
      <c r="I189" s="11">
        <v>3.46</v>
      </c>
      <c r="J189" s="11">
        <f t="shared" si="26"/>
        <v>1</v>
      </c>
      <c r="K189" s="11">
        <v>4</v>
      </c>
      <c r="L189" s="11">
        <f t="shared" si="27"/>
        <v>1</v>
      </c>
      <c r="M189" s="12">
        <v>6.9444444444444441E-3</v>
      </c>
      <c r="N189" s="11">
        <v>2</v>
      </c>
      <c r="O189" s="11" t="str">
        <f t="shared" si="31"/>
        <v>DISTINTO</v>
      </c>
      <c r="P189" s="11" t="s">
        <v>182</v>
      </c>
      <c r="Q189" s="11" t="s">
        <v>22</v>
      </c>
      <c r="R189" s="11" t="s">
        <v>23</v>
      </c>
      <c r="S189" s="6"/>
      <c r="T189" s="6"/>
      <c r="U189" s="6"/>
      <c r="V189" s="6"/>
      <c r="W189" s="6"/>
      <c r="X189" s="6"/>
      <c r="Y189" s="6"/>
    </row>
    <row r="190" spans="1:25" ht="15.75" customHeight="1">
      <c r="A190" s="13" t="s">
        <v>18</v>
      </c>
      <c r="B190" s="13">
        <v>700058800</v>
      </c>
      <c r="C190" s="13">
        <v>7000156</v>
      </c>
      <c r="D190" s="13">
        <v>5413</v>
      </c>
      <c r="E190" s="13">
        <v>-68.538893000000002</v>
      </c>
      <c r="F190" s="13">
        <v>-31.510463000000001</v>
      </c>
      <c r="G190" s="13" t="s">
        <v>184</v>
      </c>
      <c r="H190" s="13" t="s">
        <v>20</v>
      </c>
      <c r="I190" s="13">
        <v>3.26</v>
      </c>
      <c r="J190" s="13">
        <f t="shared" si="26"/>
        <v>1</v>
      </c>
      <c r="K190" s="13">
        <v>4</v>
      </c>
      <c r="L190" s="13">
        <f t="shared" si="27"/>
        <v>1</v>
      </c>
      <c r="M190" s="14">
        <v>6.9444444444444441E-3</v>
      </c>
      <c r="N190" s="13">
        <v>1</v>
      </c>
      <c r="O190" s="13" t="str">
        <f>IF(AVERAGE(J190,L190)=N190,"COINCIDE",IF(L190=N190,"INCONGRUENTE","DISTINTO"))</f>
        <v>COINCIDE</v>
      </c>
      <c r="P190" s="13" t="s">
        <v>182</v>
      </c>
      <c r="Q190" s="13" t="s">
        <v>22</v>
      </c>
      <c r="R190" s="13" t="s">
        <v>23</v>
      </c>
      <c r="S190" s="6"/>
      <c r="T190" s="6"/>
      <c r="U190" s="6"/>
      <c r="V190" s="6"/>
      <c r="W190" s="6"/>
      <c r="X190" s="6"/>
      <c r="Y190" s="6"/>
    </row>
    <row r="191" spans="1:25" ht="15.75" customHeight="1">
      <c r="A191" s="11" t="s">
        <v>18</v>
      </c>
      <c r="B191" s="11">
        <v>700015800</v>
      </c>
      <c r="C191" s="11">
        <v>7000158</v>
      </c>
      <c r="D191" s="11">
        <v>5413</v>
      </c>
      <c r="E191" s="11">
        <v>-68.586072799999997</v>
      </c>
      <c r="F191" s="11">
        <v>-31.510164700000001</v>
      </c>
      <c r="G191" s="11" t="s">
        <v>185</v>
      </c>
      <c r="H191" s="11" t="s">
        <v>20</v>
      </c>
      <c r="I191" s="11">
        <v>6.52</v>
      </c>
      <c r="J191" s="11">
        <f t="shared" si="26"/>
        <v>2</v>
      </c>
      <c r="K191" s="11">
        <v>8</v>
      </c>
      <c r="L191" s="11">
        <f t="shared" si="27"/>
        <v>2</v>
      </c>
      <c r="M191" s="12">
        <v>1.2499999999999999E-2</v>
      </c>
      <c r="N191" s="11">
        <v>3</v>
      </c>
      <c r="O191" s="11" t="str">
        <f t="shared" ref="O191:O192" si="32">IF(AVERAGE(J191,L191)=N191,"COINCIDE",IF(L191=N191,"INCONGRUENTE",IF(N191=7,"COINCIDE","DISTINTO")))</f>
        <v>DISTINTO</v>
      </c>
      <c r="P191" s="11" t="s">
        <v>182</v>
      </c>
      <c r="Q191" s="11" t="s">
        <v>22</v>
      </c>
      <c r="R191" s="11" t="s">
        <v>23</v>
      </c>
      <c r="S191" s="6"/>
      <c r="T191" s="6"/>
      <c r="U191" s="6"/>
      <c r="V191" s="6"/>
      <c r="W191" s="6"/>
      <c r="X191" s="6"/>
      <c r="Y191" s="6"/>
    </row>
    <row r="192" spans="1:25" ht="15.75" customHeight="1">
      <c r="A192" s="11" t="s">
        <v>18</v>
      </c>
      <c r="B192" s="11">
        <v>700015900</v>
      </c>
      <c r="C192" s="11">
        <v>7000159</v>
      </c>
      <c r="D192" s="11">
        <v>5413</v>
      </c>
      <c r="E192" s="11">
        <v>-68.594665800000001</v>
      </c>
      <c r="F192" s="11">
        <v>-31.508958700000001</v>
      </c>
      <c r="G192" s="11" t="s">
        <v>186</v>
      </c>
      <c r="H192" s="11" t="s">
        <v>20</v>
      </c>
      <c r="I192" s="11">
        <v>7.32</v>
      </c>
      <c r="J192" s="11">
        <f t="shared" si="26"/>
        <v>2</v>
      </c>
      <c r="K192" s="11">
        <v>9</v>
      </c>
      <c r="L192" s="11">
        <f t="shared" si="27"/>
        <v>2</v>
      </c>
      <c r="M192" s="12">
        <v>1.3888888888888888E-2</v>
      </c>
      <c r="N192" s="11">
        <v>3</v>
      </c>
      <c r="O192" s="11" t="str">
        <f t="shared" si="32"/>
        <v>DISTINTO</v>
      </c>
      <c r="P192" s="11" t="s">
        <v>182</v>
      </c>
      <c r="Q192" s="11" t="s">
        <v>22</v>
      </c>
      <c r="R192" s="11" t="s">
        <v>23</v>
      </c>
      <c r="S192" s="6"/>
      <c r="T192" s="6"/>
      <c r="U192" s="6"/>
      <c r="V192" s="6"/>
      <c r="W192" s="6"/>
      <c r="X192" s="6"/>
      <c r="Y192" s="6"/>
    </row>
    <row r="193" spans="1:25" ht="15.75" customHeight="1">
      <c r="A193" s="13" t="s">
        <v>18</v>
      </c>
      <c r="B193" s="13">
        <v>700059500</v>
      </c>
      <c r="C193" s="13">
        <v>7000160</v>
      </c>
      <c r="D193" s="13">
        <v>5413</v>
      </c>
      <c r="E193" s="13">
        <v>-68.552196800000004</v>
      </c>
      <c r="F193" s="13">
        <v>-31.5066594</v>
      </c>
      <c r="G193" s="13" t="s">
        <v>187</v>
      </c>
      <c r="H193" s="13" t="s">
        <v>20</v>
      </c>
      <c r="I193" s="13">
        <v>4.25</v>
      </c>
      <c r="J193" s="13">
        <f t="shared" si="26"/>
        <v>2</v>
      </c>
      <c r="K193" s="13">
        <v>6</v>
      </c>
      <c r="L193" s="13">
        <f t="shared" si="27"/>
        <v>2</v>
      </c>
      <c r="M193" s="14">
        <v>9.7222222222222224E-3</v>
      </c>
      <c r="N193" s="13">
        <v>2</v>
      </c>
      <c r="O193" s="13" t="str">
        <f t="shared" ref="O193:O196" si="33">IF(AVERAGE(J193,L193)=N193,"COINCIDE",IF(L193=N193,"INCONGRUENTE","DISTINTO"))</f>
        <v>COINCIDE</v>
      </c>
      <c r="P193" s="13" t="s">
        <v>182</v>
      </c>
      <c r="Q193" s="13" t="s">
        <v>22</v>
      </c>
      <c r="R193" s="13" t="s">
        <v>23</v>
      </c>
      <c r="S193" s="6"/>
      <c r="T193" s="6"/>
      <c r="U193" s="6"/>
      <c r="V193" s="6"/>
      <c r="W193" s="6"/>
      <c r="X193" s="6"/>
      <c r="Y193" s="6"/>
    </row>
    <row r="194" spans="1:25" ht="15.75" customHeight="1">
      <c r="A194" s="13" t="s">
        <v>18</v>
      </c>
      <c r="B194" s="13">
        <v>700016000</v>
      </c>
      <c r="C194" s="13">
        <v>7000161</v>
      </c>
      <c r="D194" s="13">
        <v>5413</v>
      </c>
      <c r="E194" s="13">
        <v>-68.564555600000006</v>
      </c>
      <c r="F194" s="13">
        <v>-31.498547200000001</v>
      </c>
      <c r="G194" s="13" t="s">
        <v>188</v>
      </c>
      <c r="H194" s="13" t="s">
        <v>20</v>
      </c>
      <c r="I194" s="13">
        <v>5.69</v>
      </c>
      <c r="J194" s="13">
        <f t="shared" si="26"/>
        <v>2</v>
      </c>
      <c r="K194" s="13">
        <v>8</v>
      </c>
      <c r="L194" s="13">
        <f t="shared" si="27"/>
        <v>2</v>
      </c>
      <c r="M194" s="14">
        <v>1.1111111111111112E-2</v>
      </c>
      <c r="N194" s="13">
        <v>2</v>
      </c>
      <c r="O194" s="13" t="str">
        <f t="shared" si="33"/>
        <v>COINCIDE</v>
      </c>
      <c r="P194" s="13" t="s">
        <v>182</v>
      </c>
      <c r="Q194" s="13" t="s">
        <v>22</v>
      </c>
      <c r="R194" s="13" t="s">
        <v>23</v>
      </c>
      <c r="S194" s="6"/>
      <c r="T194" s="6"/>
      <c r="U194" s="6"/>
      <c r="V194" s="6"/>
      <c r="W194" s="6"/>
      <c r="X194" s="6"/>
      <c r="Y194" s="6"/>
    </row>
    <row r="195" spans="1:25" ht="15.75" customHeight="1">
      <c r="A195" s="13" t="s">
        <v>18</v>
      </c>
      <c r="B195" s="13">
        <v>700003600</v>
      </c>
      <c r="C195" s="13">
        <v>7000162</v>
      </c>
      <c r="D195" s="13">
        <v>5413</v>
      </c>
      <c r="E195" s="13">
        <v>-68.508421299999995</v>
      </c>
      <c r="F195" s="13">
        <v>-31.5009549</v>
      </c>
      <c r="G195" s="13" t="s">
        <v>182</v>
      </c>
      <c r="H195" s="13" t="s">
        <v>20</v>
      </c>
      <c r="I195" s="13">
        <v>4.3099999999999996</v>
      </c>
      <c r="J195" s="13">
        <f t="shared" si="26"/>
        <v>2</v>
      </c>
      <c r="K195" s="13">
        <v>6</v>
      </c>
      <c r="L195" s="13">
        <f t="shared" si="27"/>
        <v>2</v>
      </c>
      <c r="M195" s="14">
        <v>9.0277777777777787E-3</v>
      </c>
      <c r="N195" s="13">
        <v>2</v>
      </c>
      <c r="O195" s="13" t="str">
        <f t="shared" si="33"/>
        <v>COINCIDE</v>
      </c>
      <c r="P195" s="13" t="s">
        <v>182</v>
      </c>
      <c r="Q195" s="13" t="s">
        <v>22</v>
      </c>
      <c r="R195" s="13" t="s">
        <v>189</v>
      </c>
      <c r="S195" s="6"/>
      <c r="T195" s="6"/>
      <c r="U195" s="6"/>
      <c r="V195" s="6"/>
      <c r="W195" s="6"/>
      <c r="X195" s="6"/>
      <c r="Y195" s="6"/>
    </row>
    <row r="196" spans="1:25" ht="15.75" customHeight="1">
      <c r="A196" s="13" t="s">
        <v>18</v>
      </c>
      <c r="B196" s="13">
        <v>700003900</v>
      </c>
      <c r="C196" s="13">
        <v>7000163</v>
      </c>
      <c r="D196" s="13">
        <v>5413</v>
      </c>
      <c r="E196" s="13">
        <v>-68.531559400000006</v>
      </c>
      <c r="F196" s="13">
        <v>-31.4843583</v>
      </c>
      <c r="G196" s="13" t="s">
        <v>190</v>
      </c>
      <c r="H196" s="13" t="s">
        <v>20</v>
      </c>
      <c r="I196" s="13">
        <v>5.89</v>
      </c>
      <c r="J196" s="13">
        <f t="shared" si="26"/>
        <v>2</v>
      </c>
      <c r="K196" s="13">
        <v>6</v>
      </c>
      <c r="L196" s="13">
        <f t="shared" si="27"/>
        <v>2</v>
      </c>
      <c r="M196" s="14">
        <v>1.1111111111111112E-2</v>
      </c>
      <c r="N196" s="13">
        <v>2</v>
      </c>
      <c r="O196" s="13" t="str">
        <f t="shared" si="33"/>
        <v>COINCIDE</v>
      </c>
      <c r="P196" s="13" t="s">
        <v>182</v>
      </c>
      <c r="Q196" s="13" t="s">
        <v>22</v>
      </c>
      <c r="R196" s="13" t="s">
        <v>23</v>
      </c>
      <c r="S196" s="6"/>
      <c r="T196" s="6"/>
      <c r="U196" s="6"/>
      <c r="V196" s="6"/>
      <c r="W196" s="6"/>
      <c r="X196" s="6"/>
      <c r="Y196" s="6"/>
    </row>
    <row r="197" spans="1:25" ht="15.75" customHeight="1">
      <c r="A197" s="11" t="s">
        <v>18</v>
      </c>
      <c r="B197" s="11">
        <v>700035500</v>
      </c>
      <c r="C197" s="11">
        <v>7000165</v>
      </c>
      <c r="D197" s="11">
        <v>5413</v>
      </c>
      <c r="E197" s="11">
        <v>-68.475188299999999</v>
      </c>
      <c r="F197" s="11">
        <v>-31.491107499999998</v>
      </c>
      <c r="G197" s="11" t="s">
        <v>191</v>
      </c>
      <c r="H197" s="11" t="s">
        <v>20</v>
      </c>
      <c r="I197" s="11">
        <v>6.53</v>
      </c>
      <c r="J197" s="11">
        <f t="shared" si="26"/>
        <v>2</v>
      </c>
      <c r="K197" s="11">
        <v>10</v>
      </c>
      <c r="L197" s="11">
        <f t="shared" si="27"/>
        <v>2</v>
      </c>
      <c r="M197" s="12">
        <v>1.1805555555555555E-2</v>
      </c>
      <c r="N197" s="11">
        <v>3</v>
      </c>
      <c r="O197" s="11" t="str">
        <f t="shared" ref="O197:O198" si="34">IF(AVERAGE(J197,L197)=N197,"COINCIDE",IF(L197=N197,"INCONGRUENTE",IF(N197=7,"COINCIDE","DISTINTO")))</f>
        <v>DISTINTO</v>
      </c>
      <c r="P197" s="11" t="s">
        <v>182</v>
      </c>
      <c r="Q197" s="11" t="s">
        <v>22</v>
      </c>
      <c r="R197" s="11" t="s">
        <v>23</v>
      </c>
      <c r="S197" s="6"/>
      <c r="T197" s="6"/>
      <c r="U197" s="6"/>
      <c r="V197" s="6"/>
      <c r="W197" s="6"/>
      <c r="X197" s="6"/>
      <c r="Y197" s="6"/>
    </row>
    <row r="198" spans="1:25" ht="15.75" customHeight="1">
      <c r="A198" s="11" t="s">
        <v>18</v>
      </c>
      <c r="B198" s="11">
        <v>700035400</v>
      </c>
      <c r="C198" s="11">
        <v>7000166</v>
      </c>
      <c r="D198" s="11">
        <v>5413</v>
      </c>
      <c r="E198" s="11">
        <v>-68.492380499999996</v>
      </c>
      <c r="F198" s="11">
        <v>-31.481227799999999</v>
      </c>
      <c r="G198" s="11" t="s">
        <v>191</v>
      </c>
      <c r="H198" s="11" t="s">
        <v>20</v>
      </c>
      <c r="I198" s="11">
        <v>6.94</v>
      </c>
      <c r="J198" s="11">
        <f t="shared" si="26"/>
        <v>2</v>
      </c>
      <c r="K198" s="11">
        <v>10</v>
      </c>
      <c r="L198" s="11">
        <f t="shared" si="27"/>
        <v>2</v>
      </c>
      <c r="M198" s="12">
        <v>1.1111111111111112E-2</v>
      </c>
      <c r="N198" s="11">
        <v>3</v>
      </c>
      <c r="O198" s="11" t="str">
        <f t="shared" si="34"/>
        <v>DISTINTO</v>
      </c>
      <c r="P198" s="11" t="s">
        <v>182</v>
      </c>
      <c r="Q198" s="11" t="s">
        <v>22</v>
      </c>
      <c r="R198" s="11" t="s">
        <v>23</v>
      </c>
      <c r="S198" s="6"/>
      <c r="T198" s="6"/>
      <c r="U198" s="6"/>
      <c r="V198" s="6"/>
      <c r="W198" s="6"/>
      <c r="X198" s="6"/>
      <c r="Y198" s="6"/>
    </row>
    <row r="199" spans="1:25" ht="15.75" customHeight="1">
      <c r="A199" s="13" t="s">
        <v>18</v>
      </c>
      <c r="B199" s="13">
        <v>700035300</v>
      </c>
      <c r="C199" s="13">
        <v>7000168</v>
      </c>
      <c r="D199" s="13">
        <v>5413</v>
      </c>
      <c r="E199" s="13">
        <v>-68.520108399999998</v>
      </c>
      <c r="F199" s="13">
        <v>-31.480297</v>
      </c>
      <c r="G199" s="13" t="s">
        <v>192</v>
      </c>
      <c r="H199" s="13" t="s">
        <v>20</v>
      </c>
      <c r="I199" s="13">
        <v>6.23</v>
      </c>
      <c r="J199" s="13">
        <f t="shared" si="26"/>
        <v>2</v>
      </c>
      <c r="K199" s="13">
        <v>8</v>
      </c>
      <c r="L199" s="13">
        <f t="shared" si="27"/>
        <v>2</v>
      </c>
      <c r="M199" s="14">
        <v>9.0277777777777787E-3</v>
      </c>
      <c r="N199" s="13">
        <v>2</v>
      </c>
      <c r="O199" s="13" t="str">
        <f t="shared" ref="O199:O200" si="35">IF(AVERAGE(J199,L199)=N199,"COINCIDE",IF(L199=N199,"INCONGRUENTE","DISTINTO"))</f>
        <v>COINCIDE</v>
      </c>
      <c r="P199" s="13" t="s">
        <v>182</v>
      </c>
      <c r="Q199" s="13" t="s">
        <v>22</v>
      </c>
      <c r="R199" s="13" t="s">
        <v>23</v>
      </c>
      <c r="S199" s="6"/>
      <c r="T199" s="6"/>
      <c r="U199" s="6"/>
      <c r="V199" s="6"/>
      <c r="W199" s="6"/>
      <c r="X199" s="6"/>
      <c r="Y199" s="6"/>
    </row>
    <row r="200" spans="1:25" ht="15.75" customHeight="1">
      <c r="A200" s="13" t="s">
        <v>18</v>
      </c>
      <c r="B200" s="13">
        <v>700023900</v>
      </c>
      <c r="C200" s="13">
        <v>7000170</v>
      </c>
      <c r="D200" s="13">
        <v>5413</v>
      </c>
      <c r="E200" s="13">
        <v>-68.563217800000004</v>
      </c>
      <c r="F200" s="13">
        <v>-31.506602300000001</v>
      </c>
      <c r="G200" s="13" t="s">
        <v>193</v>
      </c>
      <c r="H200" s="13" t="s">
        <v>20</v>
      </c>
      <c r="I200" s="13">
        <v>4.96</v>
      </c>
      <c r="J200" s="13">
        <f t="shared" si="26"/>
        <v>2</v>
      </c>
      <c r="K200" s="13">
        <v>7</v>
      </c>
      <c r="L200" s="13">
        <f t="shared" si="27"/>
        <v>2</v>
      </c>
      <c r="M200" s="14">
        <v>1.0416666666666666E-2</v>
      </c>
      <c r="N200" s="13">
        <v>2</v>
      </c>
      <c r="O200" s="13" t="str">
        <f t="shared" si="35"/>
        <v>COINCIDE</v>
      </c>
      <c r="P200" s="13" t="s">
        <v>182</v>
      </c>
      <c r="Q200" s="13" t="s">
        <v>22</v>
      </c>
      <c r="R200" s="13" t="s">
        <v>23</v>
      </c>
      <c r="S200" s="6"/>
      <c r="T200" s="6"/>
      <c r="U200" s="6"/>
      <c r="V200" s="6"/>
      <c r="W200" s="6"/>
      <c r="X200" s="6"/>
      <c r="Y200" s="6"/>
    </row>
    <row r="201" spans="1:25" ht="15.75" customHeight="1">
      <c r="A201" s="11" t="s">
        <v>18</v>
      </c>
      <c r="B201" s="11">
        <v>700050500</v>
      </c>
      <c r="C201" s="11">
        <v>7000171</v>
      </c>
      <c r="D201" s="11">
        <v>5413</v>
      </c>
      <c r="E201" s="11">
        <v>-68.599141500000002</v>
      </c>
      <c r="F201" s="11">
        <v>-31.504180999999999</v>
      </c>
      <c r="G201" s="11" t="s">
        <v>194</v>
      </c>
      <c r="H201" s="11" t="s">
        <v>20</v>
      </c>
      <c r="I201" s="11">
        <v>7.93</v>
      </c>
      <c r="J201" s="11">
        <f t="shared" si="26"/>
        <v>2</v>
      </c>
      <c r="K201" s="11">
        <v>10</v>
      </c>
      <c r="L201" s="11">
        <f t="shared" si="27"/>
        <v>2</v>
      </c>
      <c r="M201" s="12">
        <v>1.4583333333333332E-2</v>
      </c>
      <c r="N201" s="11">
        <v>3</v>
      </c>
      <c r="O201" s="11" t="str">
        <f>IF(AVERAGE(J201,L201)=N201,"COINCIDE",IF(L201=N201,"INCONGRUENTE",IF(N201=7,"COINCIDE","DISTINTO")))</f>
        <v>DISTINTO</v>
      </c>
      <c r="P201" s="11" t="s">
        <v>182</v>
      </c>
      <c r="Q201" s="11" t="s">
        <v>22</v>
      </c>
      <c r="R201" s="11" t="s">
        <v>23</v>
      </c>
      <c r="S201" s="6"/>
      <c r="T201" s="6"/>
      <c r="U201" s="6"/>
      <c r="V201" s="6"/>
      <c r="W201" s="6"/>
      <c r="X201" s="6"/>
      <c r="Y201" s="6"/>
    </row>
    <row r="202" spans="1:25" ht="15.75" customHeight="1">
      <c r="A202" s="7" t="s">
        <v>18</v>
      </c>
      <c r="B202" s="7">
        <v>700016300</v>
      </c>
      <c r="C202" s="7">
        <v>7000172</v>
      </c>
      <c r="D202" s="7">
        <v>5413</v>
      </c>
      <c r="E202" s="7">
        <v>-68.618060400000005</v>
      </c>
      <c r="F202" s="7">
        <v>-31.50976</v>
      </c>
      <c r="G202" s="7" t="s">
        <v>195</v>
      </c>
      <c r="H202" s="7" t="s">
        <v>20</v>
      </c>
      <c r="I202" s="7">
        <v>9.35</v>
      </c>
      <c r="J202" s="35">
        <f t="shared" si="26"/>
        <v>2</v>
      </c>
      <c r="K202" s="7">
        <v>11</v>
      </c>
      <c r="L202" s="35">
        <f t="shared" si="27"/>
        <v>3</v>
      </c>
      <c r="M202" s="9">
        <v>1.5972222222222224E-2</v>
      </c>
      <c r="N202" s="7">
        <v>3</v>
      </c>
      <c r="O202" s="35" t="str">
        <f>IF(AVERAGE(J202,L202)=N202,"COINCIDE",IF(L202=N202,"INCONGRUENTE","DISTINTO"))</f>
        <v>INCONGRUENTE</v>
      </c>
      <c r="P202" s="7" t="s">
        <v>182</v>
      </c>
      <c r="Q202" s="7" t="s">
        <v>22</v>
      </c>
      <c r="R202" s="7" t="s">
        <v>23</v>
      </c>
      <c r="S202" s="6"/>
      <c r="T202" s="6"/>
      <c r="U202" s="6"/>
      <c r="V202" s="6"/>
      <c r="W202" s="6"/>
      <c r="X202" s="6"/>
      <c r="Y202" s="6"/>
    </row>
    <row r="203" spans="1:25" ht="15.75" customHeight="1">
      <c r="A203" s="11" t="s">
        <v>18</v>
      </c>
      <c r="B203" s="11">
        <v>700035200</v>
      </c>
      <c r="C203" s="11">
        <v>7050002</v>
      </c>
      <c r="D203" s="11">
        <v>5413</v>
      </c>
      <c r="E203" s="11">
        <v>-68.518656199999995</v>
      </c>
      <c r="F203" s="11">
        <v>-31.465402099999999</v>
      </c>
      <c r="G203" s="11" t="s">
        <v>196</v>
      </c>
      <c r="H203" s="11" t="s">
        <v>20</v>
      </c>
      <c r="I203" s="11">
        <v>8</v>
      </c>
      <c r="J203" s="11">
        <f t="shared" si="26"/>
        <v>2</v>
      </c>
      <c r="K203" s="11">
        <v>9</v>
      </c>
      <c r="L203" s="11">
        <f t="shared" si="27"/>
        <v>2</v>
      </c>
      <c r="M203" s="12">
        <v>9.7222222222222224E-3</v>
      </c>
      <c r="N203" s="11">
        <v>3</v>
      </c>
      <c r="O203" s="11" t="str">
        <f>IF(AVERAGE(J203,L203)=N203,"COINCIDE",IF(L203=N203,"INCONGRUENTE",IF(N203=7,"COINCIDE","DISTINTO")))</f>
        <v>DISTINTO</v>
      </c>
      <c r="P203" s="11" t="s">
        <v>182</v>
      </c>
      <c r="Q203" s="11" t="s">
        <v>22</v>
      </c>
      <c r="R203" s="11" t="s">
        <v>23</v>
      </c>
      <c r="S203" s="6"/>
      <c r="T203" s="6"/>
      <c r="U203" s="6"/>
      <c r="V203" s="6"/>
      <c r="W203" s="6"/>
      <c r="X203" s="6"/>
      <c r="Y203" s="6"/>
    </row>
    <row r="204" spans="1:25" ht="15.75" customHeight="1">
      <c r="A204" s="7" t="s">
        <v>18</v>
      </c>
      <c r="B204" s="7">
        <v>700035600</v>
      </c>
      <c r="C204" s="7">
        <v>7050035</v>
      </c>
      <c r="D204" s="7">
        <v>5413</v>
      </c>
      <c r="E204" s="7">
        <v>-68.523837499999999</v>
      </c>
      <c r="F204" s="7">
        <v>-31.502776399999998</v>
      </c>
      <c r="G204" s="7" t="s">
        <v>197</v>
      </c>
      <c r="H204" s="7" t="s">
        <v>20</v>
      </c>
      <c r="I204" s="7">
        <v>3.88</v>
      </c>
      <c r="J204" s="35">
        <f t="shared" si="26"/>
        <v>1</v>
      </c>
      <c r="K204" s="7">
        <v>5</v>
      </c>
      <c r="L204" s="35">
        <f t="shared" si="27"/>
        <v>2</v>
      </c>
      <c r="M204" s="9">
        <v>7.6388888888888886E-3</v>
      </c>
      <c r="N204" s="7">
        <v>2</v>
      </c>
      <c r="O204" s="35" t="str">
        <f t="shared" ref="O204:O209" si="36">IF(AVERAGE(J204,L204)=N204,"COINCIDE",IF(L204=N204,"INCONGRUENTE","DISTINTO"))</f>
        <v>INCONGRUENTE</v>
      </c>
      <c r="P204" s="7" t="s">
        <v>182</v>
      </c>
      <c r="Q204" s="7" t="s">
        <v>22</v>
      </c>
      <c r="R204" s="7" t="s">
        <v>23</v>
      </c>
      <c r="S204" s="6"/>
      <c r="T204" s="6"/>
      <c r="U204" s="6"/>
      <c r="V204" s="6"/>
      <c r="W204" s="6"/>
      <c r="X204" s="6"/>
      <c r="Y204" s="6"/>
    </row>
    <row r="205" spans="1:25" ht="15.75" customHeight="1">
      <c r="A205" s="13" t="s">
        <v>18</v>
      </c>
      <c r="B205" s="13">
        <v>700015700</v>
      </c>
      <c r="C205" s="13">
        <v>7050135</v>
      </c>
      <c r="D205" s="13">
        <v>5413</v>
      </c>
      <c r="E205" s="13">
        <v>-68.546239499999999</v>
      </c>
      <c r="F205" s="13">
        <v>-31.493108100000001</v>
      </c>
      <c r="G205" s="13" t="s">
        <v>181</v>
      </c>
      <c r="H205" s="13" t="s">
        <v>20</v>
      </c>
      <c r="I205" s="13">
        <v>5.28</v>
      </c>
      <c r="J205" s="13">
        <f t="shared" si="26"/>
        <v>2</v>
      </c>
      <c r="K205" s="13">
        <v>6</v>
      </c>
      <c r="L205" s="13">
        <f t="shared" si="27"/>
        <v>2</v>
      </c>
      <c r="M205" s="14">
        <v>9.7222222222222224E-3</v>
      </c>
      <c r="N205" s="13">
        <v>2</v>
      </c>
      <c r="O205" s="13" t="str">
        <f t="shared" si="36"/>
        <v>COINCIDE</v>
      </c>
      <c r="P205" s="13" t="s">
        <v>182</v>
      </c>
      <c r="Q205" s="13" t="s">
        <v>22</v>
      </c>
      <c r="R205" s="13" t="s">
        <v>23</v>
      </c>
      <c r="S205" s="6"/>
      <c r="T205" s="6"/>
      <c r="U205" s="6"/>
      <c r="V205" s="6"/>
      <c r="W205" s="6"/>
      <c r="X205" s="6"/>
      <c r="Y205" s="6"/>
    </row>
    <row r="206" spans="1:25" ht="15.75" customHeight="1">
      <c r="A206" s="13" t="s">
        <v>18</v>
      </c>
      <c r="B206" s="13">
        <v>700059200</v>
      </c>
      <c r="C206" s="13">
        <v>7050206</v>
      </c>
      <c r="D206" s="13">
        <v>5413</v>
      </c>
      <c r="E206" s="13">
        <v>-68.5313637</v>
      </c>
      <c r="F206" s="13">
        <v>-31.499457899999999</v>
      </c>
      <c r="G206" s="13" t="s">
        <v>198</v>
      </c>
      <c r="H206" s="13" t="s">
        <v>20</v>
      </c>
      <c r="I206" s="13">
        <v>4.2300000000000004</v>
      </c>
      <c r="J206" s="13">
        <f t="shared" si="26"/>
        <v>2</v>
      </c>
      <c r="K206" s="13">
        <v>5</v>
      </c>
      <c r="L206" s="13">
        <f t="shared" si="27"/>
        <v>2</v>
      </c>
      <c r="M206" s="14">
        <v>7.6388888888888886E-3</v>
      </c>
      <c r="N206" s="13">
        <v>2</v>
      </c>
      <c r="O206" s="13" t="str">
        <f t="shared" si="36"/>
        <v>COINCIDE</v>
      </c>
      <c r="P206" s="13" t="s">
        <v>182</v>
      </c>
      <c r="Q206" s="13" t="s">
        <v>22</v>
      </c>
      <c r="R206" s="13" t="s">
        <v>199</v>
      </c>
      <c r="S206" s="6"/>
      <c r="T206" s="6"/>
      <c r="U206" s="6"/>
      <c r="V206" s="6"/>
      <c r="W206" s="6"/>
      <c r="X206" s="6"/>
      <c r="Y206" s="6"/>
    </row>
    <row r="207" spans="1:25" ht="15.75" customHeight="1">
      <c r="A207" s="13" t="s">
        <v>18</v>
      </c>
      <c r="B207" s="13">
        <v>700081900</v>
      </c>
      <c r="C207" s="13">
        <v>7100013</v>
      </c>
      <c r="D207" s="13">
        <v>5413</v>
      </c>
      <c r="E207" s="13">
        <v>-68.511409999999998</v>
      </c>
      <c r="F207" s="13">
        <v>-31.476641900000001</v>
      </c>
      <c r="G207" s="13" t="s">
        <v>200</v>
      </c>
      <c r="H207" s="13" t="s">
        <v>20</v>
      </c>
      <c r="I207" s="13">
        <v>6.84</v>
      </c>
      <c r="J207" s="13">
        <f t="shared" si="26"/>
        <v>2</v>
      </c>
      <c r="K207" s="13">
        <v>9</v>
      </c>
      <c r="L207" s="13">
        <f t="shared" si="27"/>
        <v>2</v>
      </c>
      <c r="M207" s="14">
        <v>9.7222222222222224E-3</v>
      </c>
      <c r="N207" s="13">
        <v>2</v>
      </c>
      <c r="O207" s="13" t="str">
        <f t="shared" si="36"/>
        <v>COINCIDE</v>
      </c>
      <c r="P207" s="13" t="s">
        <v>182</v>
      </c>
      <c r="Q207" s="13" t="s">
        <v>22</v>
      </c>
      <c r="R207" s="13" t="s">
        <v>23</v>
      </c>
      <c r="S207" s="6"/>
      <c r="T207" s="6"/>
      <c r="U207" s="6"/>
      <c r="V207" s="6"/>
      <c r="W207" s="6"/>
      <c r="X207" s="6"/>
      <c r="Y207" s="6"/>
    </row>
    <row r="208" spans="1:25" ht="15.75" customHeight="1">
      <c r="A208" s="13" t="s">
        <v>64</v>
      </c>
      <c r="B208" s="13">
        <v>700031000</v>
      </c>
      <c r="C208" s="13">
        <v>7100101</v>
      </c>
      <c r="D208" s="13">
        <v>5413</v>
      </c>
      <c r="E208" s="13">
        <v>-68.5512473</v>
      </c>
      <c r="F208" s="13">
        <v>-31.492497799999999</v>
      </c>
      <c r="G208" s="13" t="s">
        <v>200</v>
      </c>
      <c r="H208" s="13" t="s">
        <v>20</v>
      </c>
      <c r="I208" s="13">
        <v>5.56</v>
      </c>
      <c r="J208" s="13">
        <f t="shared" si="26"/>
        <v>2</v>
      </c>
      <c r="K208" s="13">
        <v>7</v>
      </c>
      <c r="L208" s="13">
        <f t="shared" si="27"/>
        <v>2</v>
      </c>
      <c r="M208" s="14">
        <v>1.0416666666666666E-2</v>
      </c>
      <c r="N208" s="13">
        <v>2</v>
      </c>
      <c r="O208" s="13" t="str">
        <f t="shared" si="36"/>
        <v>COINCIDE</v>
      </c>
      <c r="P208" s="13" t="s">
        <v>182</v>
      </c>
      <c r="Q208" s="13" t="s">
        <v>22</v>
      </c>
      <c r="R208" s="13" t="s">
        <v>23</v>
      </c>
      <c r="S208" s="6"/>
      <c r="T208" s="6"/>
      <c r="U208" s="6"/>
      <c r="V208" s="6"/>
      <c r="W208" s="6"/>
      <c r="X208" s="6"/>
      <c r="Y208" s="6"/>
    </row>
    <row r="209" spans="1:25" ht="15.75" customHeight="1">
      <c r="A209" s="13" t="s">
        <v>64</v>
      </c>
      <c r="B209" s="13">
        <v>700100900</v>
      </c>
      <c r="C209" s="13" t="s">
        <v>201</v>
      </c>
      <c r="D209" s="13">
        <v>5413</v>
      </c>
      <c r="E209" s="13">
        <v>-68.5696887</v>
      </c>
      <c r="F209" s="13">
        <v>-31.498640699999999</v>
      </c>
      <c r="G209" s="13" t="s">
        <v>182</v>
      </c>
      <c r="H209" s="13" t="s">
        <v>20</v>
      </c>
      <c r="I209" s="13">
        <v>6.02</v>
      </c>
      <c r="J209" s="13">
        <f t="shared" si="26"/>
        <v>2</v>
      </c>
      <c r="K209" s="13">
        <v>8</v>
      </c>
      <c r="L209" s="13">
        <f t="shared" si="27"/>
        <v>2</v>
      </c>
      <c r="M209" s="14">
        <v>1.1805555555555555E-2</v>
      </c>
      <c r="N209" s="13">
        <v>2</v>
      </c>
      <c r="O209" s="13" t="str">
        <f t="shared" si="36"/>
        <v>COINCIDE</v>
      </c>
      <c r="P209" s="13" t="s">
        <v>182</v>
      </c>
      <c r="Q209" s="13" t="s">
        <v>22</v>
      </c>
      <c r="R209" s="13" t="s">
        <v>23</v>
      </c>
      <c r="S209" s="6"/>
      <c r="T209" s="6"/>
      <c r="U209" s="6"/>
      <c r="V209" s="6"/>
      <c r="W209" s="6"/>
      <c r="X209" s="6"/>
      <c r="Y209" s="6"/>
    </row>
    <row r="210" spans="1:25" ht="15.75" customHeight="1">
      <c r="A210" s="11" t="s">
        <v>64</v>
      </c>
      <c r="B210" s="11">
        <v>700035200</v>
      </c>
      <c r="C210" s="11" t="s">
        <v>202</v>
      </c>
      <c r="D210" s="11">
        <v>5413</v>
      </c>
      <c r="E210" s="11">
        <v>-68.525281300000003</v>
      </c>
      <c r="F210" s="11">
        <v>-31.476603600000001</v>
      </c>
      <c r="G210" s="11" t="s">
        <v>203</v>
      </c>
      <c r="H210" s="11" t="s">
        <v>20</v>
      </c>
      <c r="I210" s="11">
        <v>6.72</v>
      </c>
      <c r="J210" s="11">
        <f t="shared" si="26"/>
        <v>2</v>
      </c>
      <c r="K210" s="11">
        <v>9</v>
      </c>
      <c r="L210" s="11">
        <f t="shared" si="27"/>
        <v>2</v>
      </c>
      <c r="M210" s="12">
        <v>1.0416666666666666E-2</v>
      </c>
      <c r="N210" s="11">
        <v>3</v>
      </c>
      <c r="O210" s="11" t="str">
        <f>IF(AVERAGE(J210,L210)=N210,"COINCIDE",IF(L210=N210,"INCONGRUENTE",IF(N210=7,"COINCIDE","DISTINTO")))</f>
        <v>DISTINTO</v>
      </c>
      <c r="P210" s="11" t="s">
        <v>182</v>
      </c>
      <c r="Q210" s="11" t="s">
        <v>22</v>
      </c>
      <c r="R210" s="11" t="s">
        <v>23</v>
      </c>
      <c r="S210" s="6"/>
      <c r="T210" s="6"/>
      <c r="U210" s="6"/>
      <c r="V210" s="6"/>
      <c r="W210" s="6"/>
      <c r="X210" s="6"/>
      <c r="Y210" s="6"/>
    </row>
    <row r="211" spans="1:25" ht="15.75" customHeight="1">
      <c r="A211" s="13" t="s">
        <v>64</v>
      </c>
      <c r="B211" s="13">
        <v>700059300</v>
      </c>
      <c r="C211" s="13" t="s">
        <v>204</v>
      </c>
      <c r="D211" s="13">
        <v>5413</v>
      </c>
      <c r="E211" s="13">
        <v>-68.534631000000005</v>
      </c>
      <c r="F211" s="13">
        <v>-31.509905100000001</v>
      </c>
      <c r="G211" s="13" t="s">
        <v>79</v>
      </c>
      <c r="H211" s="13" t="s">
        <v>20</v>
      </c>
      <c r="I211" s="13">
        <v>3.15</v>
      </c>
      <c r="J211" s="13">
        <f t="shared" si="26"/>
        <v>1</v>
      </c>
      <c r="K211" s="13">
        <v>4</v>
      </c>
      <c r="L211" s="13">
        <f t="shared" si="27"/>
        <v>1</v>
      </c>
      <c r="M211" s="14">
        <v>6.2499999999999995E-3</v>
      </c>
      <c r="N211" s="13">
        <v>1</v>
      </c>
      <c r="O211" s="13" t="str">
        <f>IF(AVERAGE(J211,L211)=N211,"COINCIDE",IF(L211=N211,"INCONGRUENTE","DISTINTO"))</f>
        <v>COINCIDE</v>
      </c>
      <c r="P211" s="13" t="s">
        <v>182</v>
      </c>
      <c r="Q211" s="13" t="s">
        <v>22</v>
      </c>
      <c r="R211" s="13" t="s">
        <v>23</v>
      </c>
      <c r="S211" s="6"/>
      <c r="T211" s="6"/>
      <c r="U211" s="6"/>
      <c r="V211" s="6"/>
      <c r="W211" s="6"/>
      <c r="X211" s="6"/>
      <c r="Y211" s="6"/>
    </row>
    <row r="212" spans="1:25" ht="15.75" customHeight="1">
      <c r="A212" s="11" t="s">
        <v>40</v>
      </c>
      <c r="B212" s="11">
        <v>700058900</v>
      </c>
      <c r="C212" s="11" t="s">
        <v>205</v>
      </c>
      <c r="D212" s="11">
        <v>5413</v>
      </c>
      <c r="E212" s="11">
        <v>-68.543604000000002</v>
      </c>
      <c r="F212" s="11">
        <v>-31.4950121</v>
      </c>
      <c r="G212" s="11" t="s">
        <v>206</v>
      </c>
      <c r="H212" s="11" t="s">
        <v>20</v>
      </c>
      <c r="I212" s="11">
        <v>5.01</v>
      </c>
      <c r="J212" s="11">
        <f t="shared" si="26"/>
        <v>2</v>
      </c>
      <c r="K212" s="11">
        <v>6</v>
      </c>
      <c r="L212" s="11">
        <f t="shared" si="27"/>
        <v>2</v>
      </c>
      <c r="M212" s="12">
        <v>9.7222222222222224E-3</v>
      </c>
      <c r="N212" s="11">
        <v>3</v>
      </c>
      <c r="O212" s="11" t="str">
        <f>IF(AVERAGE(J212,L212)=N212,"COINCIDE",IF(L212=N212,"INCONGRUENTE",IF(N212=7,"COINCIDE","DISTINTO")))</f>
        <v>DISTINTO</v>
      </c>
      <c r="P212" s="11" t="s">
        <v>182</v>
      </c>
      <c r="Q212" s="11" t="s">
        <v>22</v>
      </c>
      <c r="R212" s="11" t="s">
        <v>23</v>
      </c>
      <c r="S212" s="6"/>
      <c r="T212" s="6"/>
      <c r="U212" s="6"/>
      <c r="V212" s="6"/>
      <c r="W212" s="6"/>
      <c r="X212" s="6"/>
      <c r="Y212" s="6"/>
    </row>
    <row r="213" spans="1:25" ht="15.75" customHeight="1">
      <c r="A213" s="13" t="s">
        <v>64</v>
      </c>
      <c r="B213" s="13">
        <v>700003900</v>
      </c>
      <c r="C213" s="13" t="s">
        <v>207</v>
      </c>
      <c r="D213" s="13">
        <v>5413</v>
      </c>
      <c r="E213" s="13">
        <v>-68.531771599999999</v>
      </c>
      <c r="F213" s="13">
        <v>-31.479810100000002</v>
      </c>
      <c r="G213" s="13" t="s">
        <v>190</v>
      </c>
      <c r="H213" s="13" t="s">
        <v>20</v>
      </c>
      <c r="I213" s="13">
        <v>6.4</v>
      </c>
      <c r="J213" s="13">
        <f t="shared" si="26"/>
        <v>2</v>
      </c>
      <c r="K213" s="13">
        <v>9</v>
      </c>
      <c r="L213" s="13">
        <f t="shared" si="27"/>
        <v>2</v>
      </c>
      <c r="M213" s="14">
        <v>1.1111111111111112E-2</v>
      </c>
      <c r="N213" s="13">
        <v>2</v>
      </c>
      <c r="O213" s="13" t="str">
        <f t="shared" ref="O213:O217" si="37">IF(AVERAGE(J213,L213)=N213,"COINCIDE",IF(L213=N213,"INCONGRUENTE","DISTINTO"))</f>
        <v>COINCIDE</v>
      </c>
      <c r="P213" s="13" t="s">
        <v>182</v>
      </c>
      <c r="Q213" s="13" t="s">
        <v>22</v>
      </c>
      <c r="R213" s="13" t="s">
        <v>23</v>
      </c>
      <c r="S213" s="6"/>
      <c r="T213" s="6"/>
      <c r="U213" s="6"/>
      <c r="V213" s="6"/>
      <c r="W213" s="6"/>
      <c r="X213" s="6"/>
      <c r="Y213" s="6"/>
    </row>
    <row r="214" spans="1:25" ht="15.75" customHeight="1">
      <c r="A214" s="13" t="s">
        <v>42</v>
      </c>
      <c r="B214" s="13">
        <v>700003600</v>
      </c>
      <c r="C214" s="13" t="s">
        <v>208</v>
      </c>
      <c r="D214" s="13">
        <v>5413</v>
      </c>
      <c r="E214" s="13">
        <v>-68.509258099999997</v>
      </c>
      <c r="F214" s="13">
        <v>-31.500529499999999</v>
      </c>
      <c r="G214" s="13" t="s">
        <v>182</v>
      </c>
      <c r="H214" s="13" t="s">
        <v>20</v>
      </c>
      <c r="I214" s="13">
        <v>4.3099999999999996</v>
      </c>
      <c r="J214" s="13">
        <f t="shared" si="26"/>
        <v>2</v>
      </c>
      <c r="K214" s="13">
        <v>6</v>
      </c>
      <c r="L214" s="13">
        <f t="shared" si="27"/>
        <v>2</v>
      </c>
      <c r="M214" s="14">
        <v>9.0277777777777787E-3</v>
      </c>
      <c r="N214" s="13">
        <v>2</v>
      </c>
      <c r="O214" s="13" t="str">
        <f t="shared" si="37"/>
        <v>COINCIDE</v>
      </c>
      <c r="P214" s="13" t="s">
        <v>182</v>
      </c>
      <c r="Q214" s="13" t="s">
        <v>22</v>
      </c>
      <c r="R214" s="13" t="s">
        <v>209</v>
      </c>
      <c r="S214" s="6"/>
      <c r="T214" s="6"/>
      <c r="U214" s="6"/>
      <c r="V214" s="6"/>
      <c r="W214" s="6"/>
      <c r="X214" s="6"/>
      <c r="Y214" s="6"/>
    </row>
    <row r="215" spans="1:25" ht="15.75" customHeight="1">
      <c r="A215" s="13" t="s">
        <v>42</v>
      </c>
      <c r="B215" s="13">
        <v>700059500</v>
      </c>
      <c r="C215" s="13" t="s">
        <v>210</v>
      </c>
      <c r="D215" s="13">
        <v>5413</v>
      </c>
      <c r="E215" s="13">
        <v>-68.569995899999995</v>
      </c>
      <c r="F215" s="13">
        <v>-31.498618199999999</v>
      </c>
      <c r="G215" s="13" t="s">
        <v>211</v>
      </c>
      <c r="H215" s="13" t="s">
        <v>20</v>
      </c>
      <c r="I215" s="13">
        <v>6.04</v>
      </c>
      <c r="J215" s="13">
        <f t="shared" si="26"/>
        <v>2</v>
      </c>
      <c r="K215" s="13">
        <v>8</v>
      </c>
      <c r="L215" s="13">
        <f t="shared" si="27"/>
        <v>2</v>
      </c>
      <c r="M215" s="14">
        <v>1.1805555555555555E-2</v>
      </c>
      <c r="N215" s="13">
        <v>2</v>
      </c>
      <c r="O215" s="13" t="str">
        <f t="shared" si="37"/>
        <v>COINCIDE</v>
      </c>
      <c r="P215" s="13" t="s">
        <v>182</v>
      </c>
      <c r="Q215" s="13" t="s">
        <v>22</v>
      </c>
      <c r="R215" s="13" t="s">
        <v>23</v>
      </c>
      <c r="S215" s="6"/>
      <c r="T215" s="6"/>
      <c r="U215" s="6"/>
      <c r="V215" s="6"/>
      <c r="W215" s="6"/>
      <c r="X215" s="6"/>
      <c r="Y215" s="6"/>
    </row>
    <row r="216" spans="1:25" ht="15.75" customHeight="1">
      <c r="A216" s="13" t="s">
        <v>42</v>
      </c>
      <c r="B216" s="13">
        <v>700059000</v>
      </c>
      <c r="C216" s="13" t="s">
        <v>212</v>
      </c>
      <c r="D216" s="13">
        <v>5413</v>
      </c>
      <c r="E216" s="13">
        <v>-68.530576600000003</v>
      </c>
      <c r="F216" s="13">
        <v>-31.499641199999999</v>
      </c>
      <c r="G216" s="13" t="s">
        <v>182</v>
      </c>
      <c r="H216" s="13" t="s">
        <v>20</v>
      </c>
      <c r="I216" s="13">
        <v>4.1900000000000004</v>
      </c>
      <c r="J216" s="13">
        <f t="shared" si="26"/>
        <v>2</v>
      </c>
      <c r="K216" s="13">
        <v>5</v>
      </c>
      <c r="L216" s="13">
        <f t="shared" si="27"/>
        <v>2</v>
      </c>
      <c r="M216" s="14">
        <v>8.3333333333333332E-3</v>
      </c>
      <c r="N216" s="13">
        <v>2</v>
      </c>
      <c r="O216" s="13" t="str">
        <f t="shared" si="37"/>
        <v>COINCIDE</v>
      </c>
      <c r="P216" s="13" t="s">
        <v>182</v>
      </c>
      <c r="Q216" s="13" t="s">
        <v>22</v>
      </c>
      <c r="R216" s="13" t="s">
        <v>213</v>
      </c>
      <c r="S216" s="6"/>
      <c r="T216" s="6"/>
      <c r="U216" s="6"/>
      <c r="V216" s="6"/>
      <c r="W216" s="6"/>
      <c r="X216" s="6"/>
      <c r="Y216" s="6"/>
    </row>
    <row r="217" spans="1:25" ht="15.75" customHeight="1">
      <c r="A217" s="13" t="s">
        <v>64</v>
      </c>
      <c r="B217" s="13">
        <v>700004000</v>
      </c>
      <c r="C217" s="13" t="s">
        <v>214</v>
      </c>
      <c r="D217" s="13">
        <v>5413</v>
      </c>
      <c r="E217" s="13">
        <v>-68.513598400000006</v>
      </c>
      <c r="F217" s="13">
        <v>-31.502033699999998</v>
      </c>
      <c r="G217" s="13" t="s">
        <v>215</v>
      </c>
      <c r="H217" s="13" t="s">
        <v>20</v>
      </c>
      <c r="I217" s="13">
        <v>4.04</v>
      </c>
      <c r="J217" s="13">
        <f t="shared" si="26"/>
        <v>2</v>
      </c>
      <c r="K217" s="13">
        <v>6</v>
      </c>
      <c r="L217" s="13">
        <f t="shared" si="27"/>
        <v>2</v>
      </c>
      <c r="M217" s="14">
        <v>8.3333333333333332E-3</v>
      </c>
      <c r="N217" s="13">
        <v>2</v>
      </c>
      <c r="O217" s="13" t="str">
        <f t="shared" si="37"/>
        <v>COINCIDE</v>
      </c>
      <c r="P217" s="13" t="s">
        <v>182</v>
      </c>
      <c r="Q217" s="13" t="s">
        <v>22</v>
      </c>
      <c r="R217" s="13" t="s">
        <v>23</v>
      </c>
      <c r="S217" s="6"/>
      <c r="T217" s="6"/>
      <c r="U217" s="6"/>
      <c r="V217" s="6"/>
      <c r="W217" s="6"/>
      <c r="X217" s="6"/>
      <c r="Y217" s="6"/>
    </row>
    <row r="218" spans="1:25" ht="15.75" customHeight="1">
      <c r="A218" s="11" t="s">
        <v>42</v>
      </c>
      <c r="B218" s="11">
        <v>700084500</v>
      </c>
      <c r="C218" s="11" t="s">
        <v>216</v>
      </c>
      <c r="D218" s="11">
        <v>5413</v>
      </c>
      <c r="E218" s="11">
        <v>-68.523090800000006</v>
      </c>
      <c r="F218" s="11">
        <v>-31.507013199999999</v>
      </c>
      <c r="G218" s="11" t="s">
        <v>182</v>
      </c>
      <c r="H218" s="11" t="s">
        <v>20</v>
      </c>
      <c r="I218" s="11">
        <v>3.34</v>
      </c>
      <c r="J218" s="11">
        <f t="shared" si="26"/>
        <v>1</v>
      </c>
      <c r="K218" s="11">
        <v>4</v>
      </c>
      <c r="L218" s="36">
        <f t="shared" si="27"/>
        <v>1</v>
      </c>
      <c r="M218" s="12">
        <v>7.6388888888888886E-3</v>
      </c>
      <c r="N218" s="11">
        <v>2</v>
      </c>
      <c r="O218" s="11" t="str">
        <f t="shared" ref="O218:O236" si="38">IF(AVERAGE(J218,L218)=N218,"COINCIDE",IF(L218=N218,"INCONGRUENTE",IF(N218=7,"COINCIDE","DISTINTO")))</f>
        <v>DISTINTO</v>
      </c>
      <c r="P218" s="11" t="s">
        <v>182</v>
      </c>
      <c r="Q218" s="11" t="s">
        <v>22</v>
      </c>
      <c r="R218" s="11" t="s">
        <v>23</v>
      </c>
      <c r="S218" s="6"/>
      <c r="T218" s="6"/>
      <c r="U218" s="6"/>
      <c r="V218" s="6"/>
      <c r="W218" s="6"/>
      <c r="X218" s="6"/>
      <c r="Y218" s="6"/>
    </row>
    <row r="219" spans="1:25" ht="15.75" customHeight="1">
      <c r="A219" s="13" t="s">
        <v>18</v>
      </c>
      <c r="B219" s="13">
        <v>700051700</v>
      </c>
      <c r="C219" s="13">
        <v>7050367</v>
      </c>
      <c r="D219" s="13">
        <v>5460</v>
      </c>
      <c r="E219" s="13">
        <v>-68.681730400000006</v>
      </c>
      <c r="F219" s="13">
        <v>-30.429401599999998</v>
      </c>
      <c r="G219" s="13" t="s">
        <v>109</v>
      </c>
      <c r="H219" s="13" t="s">
        <v>104</v>
      </c>
      <c r="I219" s="13">
        <v>21.7</v>
      </c>
      <c r="J219" s="27">
        <f t="shared" ref="J219:J222" si="39">IF(I219&lt;=2,3,IF(I219&lt;=10,5,6))</f>
        <v>6</v>
      </c>
      <c r="K219" s="13">
        <v>26</v>
      </c>
      <c r="L219" s="27">
        <f t="shared" ref="L219:L222" si="40">IF(K219&lt;=2,3,IF(K219&lt;=10,5,6))</f>
        <v>6</v>
      </c>
      <c r="M219" s="14">
        <v>1.5972222222222224E-2</v>
      </c>
      <c r="N219" s="13">
        <v>6</v>
      </c>
      <c r="O219" s="13" t="str">
        <f t="shared" si="38"/>
        <v>COINCIDE</v>
      </c>
      <c r="P219" s="13" t="s">
        <v>105</v>
      </c>
      <c r="Q219" s="13" t="s">
        <v>22</v>
      </c>
      <c r="R219" s="13" t="s">
        <v>23</v>
      </c>
      <c r="S219" s="6"/>
      <c r="T219" s="6"/>
      <c r="U219" s="6"/>
      <c r="V219" s="6"/>
      <c r="W219" s="6"/>
      <c r="X219" s="6"/>
      <c r="Y219" s="6"/>
    </row>
    <row r="220" spans="1:25" ht="15.75" customHeight="1">
      <c r="A220" s="15" t="s">
        <v>28</v>
      </c>
      <c r="B220" s="15">
        <v>700066602</v>
      </c>
      <c r="C220" s="15">
        <v>7100064</v>
      </c>
      <c r="D220" s="15">
        <v>5460</v>
      </c>
      <c r="E220" s="15">
        <v>-68.744606200000007</v>
      </c>
      <c r="F220" s="15">
        <v>-30.242946499999999</v>
      </c>
      <c r="G220" s="15" t="s">
        <v>103</v>
      </c>
      <c r="H220" s="15" t="s">
        <v>104</v>
      </c>
      <c r="I220" s="15"/>
      <c r="J220" s="15">
        <f t="shared" si="39"/>
        <v>3</v>
      </c>
      <c r="K220" s="15"/>
      <c r="L220" s="15">
        <f t="shared" si="40"/>
        <v>3</v>
      </c>
      <c r="M220" s="15"/>
      <c r="N220" s="15">
        <v>3</v>
      </c>
      <c r="O220" s="15" t="str">
        <f t="shared" si="38"/>
        <v>COINCIDE</v>
      </c>
      <c r="P220" s="15" t="s">
        <v>105</v>
      </c>
      <c r="Q220" s="15" t="s">
        <v>22</v>
      </c>
      <c r="R220" s="15" t="s">
        <v>23</v>
      </c>
      <c r="S220" s="6"/>
      <c r="T220" s="6"/>
      <c r="U220" s="6"/>
      <c r="V220" s="6"/>
      <c r="W220" s="6"/>
      <c r="X220" s="6"/>
      <c r="Y220" s="6"/>
    </row>
    <row r="221" spans="1:25" ht="15.75" customHeight="1">
      <c r="A221" s="13" t="s">
        <v>136</v>
      </c>
      <c r="B221" s="13">
        <v>700051400</v>
      </c>
      <c r="C221" s="13" t="s">
        <v>217</v>
      </c>
      <c r="D221" s="13">
        <v>5460</v>
      </c>
      <c r="E221" s="13">
        <v>-68.749795300000002</v>
      </c>
      <c r="F221" s="13">
        <v>-30.242990599999999</v>
      </c>
      <c r="G221" s="13" t="s">
        <v>103</v>
      </c>
      <c r="H221" s="13" t="s">
        <v>104</v>
      </c>
      <c r="I221" s="13">
        <v>0.28599999999999998</v>
      </c>
      <c r="J221" s="27">
        <f t="shared" si="39"/>
        <v>3</v>
      </c>
      <c r="K221" s="13">
        <v>0.41199999999999998</v>
      </c>
      <c r="L221" s="27">
        <f t="shared" si="40"/>
        <v>3</v>
      </c>
      <c r="M221" s="14">
        <v>6.9444444444444447E-4</v>
      </c>
      <c r="N221" s="13">
        <v>3</v>
      </c>
      <c r="O221" s="13" t="str">
        <f t="shared" si="38"/>
        <v>COINCIDE</v>
      </c>
      <c r="P221" s="13" t="s">
        <v>105</v>
      </c>
      <c r="Q221" s="13" t="s">
        <v>22</v>
      </c>
      <c r="R221" s="13" t="s">
        <v>23</v>
      </c>
      <c r="S221" s="6"/>
      <c r="T221" s="6"/>
      <c r="U221" s="6"/>
      <c r="V221" s="6"/>
      <c r="W221" s="6"/>
      <c r="X221" s="6"/>
      <c r="Y221" s="6"/>
    </row>
    <row r="222" spans="1:25" ht="15.75" customHeight="1">
      <c r="A222" s="13" t="s">
        <v>42</v>
      </c>
      <c r="B222" s="13">
        <v>700087600</v>
      </c>
      <c r="C222" s="13" t="s">
        <v>218</v>
      </c>
      <c r="D222" s="13">
        <v>5460</v>
      </c>
      <c r="E222" s="13">
        <v>-68.754436400000003</v>
      </c>
      <c r="F222" s="13">
        <v>-30.243296900000001</v>
      </c>
      <c r="G222" s="13" t="s">
        <v>219</v>
      </c>
      <c r="H222" s="13" t="s">
        <v>104</v>
      </c>
      <c r="I222" s="13">
        <v>0.73299999999999998</v>
      </c>
      <c r="J222" s="27">
        <f t="shared" si="39"/>
        <v>3</v>
      </c>
      <c r="K222" s="13">
        <v>1</v>
      </c>
      <c r="L222" s="27">
        <f t="shared" si="40"/>
        <v>3</v>
      </c>
      <c r="M222" s="14">
        <v>2.0833333333333333E-3</v>
      </c>
      <c r="N222" s="13">
        <v>3</v>
      </c>
      <c r="O222" s="13" t="str">
        <f t="shared" si="38"/>
        <v>COINCIDE</v>
      </c>
      <c r="P222" s="13" t="s">
        <v>105</v>
      </c>
      <c r="Q222" s="13" t="s">
        <v>22</v>
      </c>
      <c r="R222" s="13" t="s">
        <v>220</v>
      </c>
      <c r="S222" s="6"/>
      <c r="T222" s="6"/>
      <c r="U222" s="6"/>
      <c r="V222" s="6"/>
      <c r="W222" s="6"/>
      <c r="X222" s="6"/>
      <c r="Y222" s="6"/>
    </row>
    <row r="223" spans="1:25" ht="15.75" customHeight="1">
      <c r="A223" s="13" t="s">
        <v>18</v>
      </c>
      <c r="B223" s="13">
        <v>700036700</v>
      </c>
      <c r="C223" s="13">
        <v>7000125</v>
      </c>
      <c r="D223" s="13">
        <v>5442</v>
      </c>
      <c r="E223" s="13">
        <v>-68.282010400000004</v>
      </c>
      <c r="F223" s="13">
        <v>-31.653486600000001</v>
      </c>
      <c r="G223" s="13" t="s">
        <v>221</v>
      </c>
      <c r="H223" s="13" t="s">
        <v>222</v>
      </c>
      <c r="I223" s="13">
        <v>0.26100000000000001</v>
      </c>
      <c r="J223" s="13">
        <f t="shared" ref="J223:J236" si="41">IF(I223&lt;=2,3,IF(I223&lt;=40,4,IF(I223&lt;=80,5,6)))</f>
        <v>3</v>
      </c>
      <c r="K223" s="13">
        <v>0.68899999999999995</v>
      </c>
      <c r="L223" s="13">
        <f t="shared" ref="L223:L236" si="42">IF(K223&lt;=2,3,IF(K223&lt;=40,4,IF(K223&lt;=80,5,6)))</f>
        <v>3</v>
      </c>
      <c r="M223" s="14">
        <v>1.3888888888888889E-3</v>
      </c>
      <c r="N223" s="13">
        <v>3</v>
      </c>
      <c r="O223" s="13" t="str">
        <f t="shared" si="38"/>
        <v>COINCIDE</v>
      </c>
      <c r="P223" s="13" t="s">
        <v>221</v>
      </c>
      <c r="Q223" s="13" t="s">
        <v>22</v>
      </c>
      <c r="R223" s="13" t="s">
        <v>23</v>
      </c>
      <c r="S223" s="6"/>
      <c r="T223" s="6"/>
      <c r="U223" s="6"/>
      <c r="V223" s="6"/>
      <c r="W223" s="6"/>
      <c r="X223" s="6"/>
      <c r="Y223" s="6"/>
    </row>
    <row r="224" spans="1:25" ht="15.75" customHeight="1">
      <c r="A224" s="13" t="s">
        <v>136</v>
      </c>
      <c r="B224" s="13">
        <v>700039800</v>
      </c>
      <c r="C224" s="13">
        <v>7000126</v>
      </c>
      <c r="D224" s="13">
        <v>5442</v>
      </c>
      <c r="E224" s="13">
        <v>-68.273848000000001</v>
      </c>
      <c r="F224" s="13">
        <v>-31.65427</v>
      </c>
      <c r="G224" s="13" t="s">
        <v>221</v>
      </c>
      <c r="H224" s="13" t="s">
        <v>222</v>
      </c>
      <c r="I224" s="13">
        <v>0.9</v>
      </c>
      <c r="J224" s="13">
        <f t="shared" si="41"/>
        <v>3</v>
      </c>
      <c r="K224" s="13">
        <v>1</v>
      </c>
      <c r="L224" s="13">
        <f t="shared" si="42"/>
        <v>3</v>
      </c>
      <c r="M224" s="14">
        <v>2.7777777777777779E-3</v>
      </c>
      <c r="N224" s="13">
        <v>3</v>
      </c>
      <c r="O224" s="13" t="str">
        <f t="shared" si="38"/>
        <v>COINCIDE</v>
      </c>
      <c r="P224" s="13" t="s">
        <v>221</v>
      </c>
      <c r="Q224" s="13" t="s">
        <v>22</v>
      </c>
      <c r="R224" s="13" t="s">
        <v>23</v>
      </c>
      <c r="S224" s="6"/>
      <c r="T224" s="6"/>
      <c r="U224" s="6"/>
      <c r="V224" s="6"/>
      <c r="W224" s="6"/>
      <c r="X224" s="6"/>
      <c r="Y224" s="6"/>
    </row>
    <row r="225" spans="1:25" ht="15.75" customHeight="1">
      <c r="A225" s="13" t="s">
        <v>40</v>
      </c>
      <c r="B225" s="13">
        <v>700036300</v>
      </c>
      <c r="C225" s="13">
        <v>7000128</v>
      </c>
      <c r="D225" s="13">
        <v>5442</v>
      </c>
      <c r="E225" s="13">
        <v>-68.274597999999997</v>
      </c>
      <c r="F225" s="13">
        <v>-31.648986000000001</v>
      </c>
      <c r="G225" s="13" t="s">
        <v>221</v>
      </c>
      <c r="H225" s="13" t="s">
        <v>222</v>
      </c>
      <c r="I225" s="13">
        <v>0.78200000000000003</v>
      </c>
      <c r="J225" s="13">
        <f t="shared" si="41"/>
        <v>3</v>
      </c>
      <c r="K225" s="13">
        <v>1</v>
      </c>
      <c r="L225" s="13">
        <f t="shared" si="42"/>
        <v>3</v>
      </c>
      <c r="M225" s="14">
        <v>2.7777777777777779E-3</v>
      </c>
      <c r="N225" s="13">
        <v>3</v>
      </c>
      <c r="O225" s="13" t="str">
        <f t="shared" si="38"/>
        <v>COINCIDE</v>
      </c>
      <c r="P225" s="13" t="s">
        <v>221</v>
      </c>
      <c r="Q225" s="13" t="s">
        <v>22</v>
      </c>
      <c r="R225" s="13" t="s">
        <v>23</v>
      </c>
      <c r="S225" s="6"/>
      <c r="T225" s="6"/>
      <c r="U225" s="6"/>
      <c r="V225" s="6"/>
      <c r="W225" s="6"/>
      <c r="X225" s="6"/>
      <c r="Y225" s="6"/>
    </row>
    <row r="226" spans="1:25" ht="15.75" customHeight="1">
      <c r="A226" s="13" t="s">
        <v>38</v>
      </c>
      <c r="B226" s="13">
        <v>700055800</v>
      </c>
      <c r="C226" s="13">
        <v>7000129</v>
      </c>
      <c r="D226" s="13">
        <v>5442</v>
      </c>
      <c r="E226" s="13">
        <v>-68.294240599999995</v>
      </c>
      <c r="F226" s="13">
        <v>-31.7038054</v>
      </c>
      <c r="G226" s="13" t="s">
        <v>221</v>
      </c>
      <c r="H226" s="13" t="s">
        <v>222</v>
      </c>
      <c r="I226" s="13">
        <v>6</v>
      </c>
      <c r="J226" s="13">
        <f t="shared" si="41"/>
        <v>4</v>
      </c>
      <c r="K226" s="13">
        <v>7</v>
      </c>
      <c r="L226" s="13">
        <f t="shared" si="42"/>
        <v>4</v>
      </c>
      <c r="M226" s="14">
        <v>5.5555555555555558E-3</v>
      </c>
      <c r="N226" s="13">
        <v>4</v>
      </c>
      <c r="O226" s="13" t="str">
        <f t="shared" si="38"/>
        <v>COINCIDE</v>
      </c>
      <c r="P226" s="13" t="s">
        <v>221</v>
      </c>
      <c r="Q226" s="13" t="s">
        <v>22</v>
      </c>
      <c r="R226" s="13" t="s">
        <v>23</v>
      </c>
      <c r="S226" s="6"/>
      <c r="T226" s="6"/>
      <c r="U226" s="6"/>
      <c r="V226" s="6"/>
      <c r="W226" s="6"/>
      <c r="X226" s="6"/>
      <c r="Y226" s="6"/>
    </row>
    <row r="227" spans="1:25" ht="15.75" customHeight="1">
      <c r="A227" s="11" t="s">
        <v>18</v>
      </c>
      <c r="B227" s="11">
        <v>700021700</v>
      </c>
      <c r="C227" s="11">
        <v>7000133</v>
      </c>
      <c r="D227" s="11">
        <v>5442</v>
      </c>
      <c r="E227" s="11">
        <v>-67.660474699999995</v>
      </c>
      <c r="F227" s="11">
        <v>-31.589196999999999</v>
      </c>
      <c r="G227" s="11" t="s">
        <v>223</v>
      </c>
      <c r="H227" s="11" t="s">
        <v>222</v>
      </c>
      <c r="I227" s="11">
        <v>59.4</v>
      </c>
      <c r="J227" s="11">
        <f t="shared" si="41"/>
        <v>5</v>
      </c>
      <c r="K227" s="11">
        <v>75</v>
      </c>
      <c r="L227" s="11">
        <f t="shared" si="42"/>
        <v>5</v>
      </c>
      <c r="M227" s="12">
        <v>4.1666666666666664E-2</v>
      </c>
      <c r="N227" s="11">
        <v>6</v>
      </c>
      <c r="O227" s="11" t="str">
        <f t="shared" si="38"/>
        <v>DISTINTO</v>
      </c>
      <c r="P227" s="11" t="s">
        <v>221</v>
      </c>
      <c r="Q227" s="11" t="s">
        <v>22</v>
      </c>
      <c r="R227" s="11" t="s">
        <v>23</v>
      </c>
      <c r="S227" s="6"/>
      <c r="T227" s="6"/>
      <c r="U227" s="6"/>
      <c r="V227" s="6"/>
      <c r="W227" s="6"/>
      <c r="X227" s="6"/>
      <c r="Y227" s="6"/>
    </row>
    <row r="228" spans="1:25" ht="15.75" customHeight="1">
      <c r="A228" s="13" t="s">
        <v>62</v>
      </c>
      <c r="B228" s="13">
        <v>700040300</v>
      </c>
      <c r="C228" s="13">
        <v>7000134</v>
      </c>
      <c r="D228" s="13">
        <v>5442</v>
      </c>
      <c r="E228" s="13">
        <v>-68.289994899999996</v>
      </c>
      <c r="F228" s="13">
        <v>-31.645410999999999</v>
      </c>
      <c r="G228" s="13" t="s">
        <v>221</v>
      </c>
      <c r="H228" s="13" t="s">
        <v>222</v>
      </c>
      <c r="I228" s="13">
        <v>0.96499999999999997</v>
      </c>
      <c r="J228" s="13">
        <f t="shared" si="41"/>
        <v>3</v>
      </c>
      <c r="K228" s="13">
        <v>2</v>
      </c>
      <c r="L228" s="13">
        <f t="shared" si="42"/>
        <v>3</v>
      </c>
      <c r="M228" s="14">
        <v>2.7777777777777779E-3</v>
      </c>
      <c r="N228" s="13">
        <v>3</v>
      </c>
      <c r="O228" s="13" t="str">
        <f t="shared" si="38"/>
        <v>COINCIDE</v>
      </c>
      <c r="P228" s="13" t="s">
        <v>221</v>
      </c>
      <c r="Q228" s="13" t="s">
        <v>22</v>
      </c>
      <c r="R228" s="13" t="s">
        <v>23</v>
      </c>
      <c r="S228" s="6"/>
      <c r="T228" s="6"/>
      <c r="U228" s="6"/>
      <c r="V228" s="6"/>
      <c r="W228" s="6"/>
      <c r="X228" s="6"/>
      <c r="Y228" s="6"/>
    </row>
    <row r="229" spans="1:25" ht="15.75" customHeight="1">
      <c r="A229" s="13" t="s">
        <v>18</v>
      </c>
      <c r="B229" s="13">
        <v>700040200</v>
      </c>
      <c r="C229" s="13">
        <v>7000135</v>
      </c>
      <c r="D229" s="13">
        <v>5442</v>
      </c>
      <c r="E229" s="13">
        <v>-68.274897800000005</v>
      </c>
      <c r="F229" s="13">
        <v>-31.657969900000001</v>
      </c>
      <c r="G229" s="13" t="s">
        <v>221</v>
      </c>
      <c r="H229" s="13" t="s">
        <v>222</v>
      </c>
      <c r="I229" s="13">
        <v>1.02</v>
      </c>
      <c r="J229" s="13">
        <f t="shared" si="41"/>
        <v>3</v>
      </c>
      <c r="K229" s="13">
        <v>1</v>
      </c>
      <c r="L229" s="13">
        <f t="shared" si="42"/>
        <v>3</v>
      </c>
      <c r="M229" s="14">
        <v>2.7777777777777779E-3</v>
      </c>
      <c r="N229" s="13">
        <v>3</v>
      </c>
      <c r="O229" s="13" t="str">
        <f t="shared" si="38"/>
        <v>COINCIDE</v>
      </c>
      <c r="P229" s="13" t="s">
        <v>221</v>
      </c>
      <c r="Q229" s="13" t="s">
        <v>22</v>
      </c>
      <c r="R229" s="13" t="s">
        <v>23</v>
      </c>
      <c r="S229" s="6"/>
      <c r="T229" s="6"/>
      <c r="U229" s="6"/>
      <c r="V229" s="6"/>
      <c r="W229" s="6"/>
      <c r="X229" s="6"/>
      <c r="Y229" s="6"/>
    </row>
    <row r="230" spans="1:25" ht="15.75" customHeight="1">
      <c r="A230" s="13" t="s">
        <v>18</v>
      </c>
      <c r="B230" s="13">
        <v>700018600</v>
      </c>
      <c r="C230" s="13">
        <v>7000136</v>
      </c>
      <c r="D230" s="13">
        <v>5442</v>
      </c>
      <c r="E230" s="13">
        <v>-68.318619999999996</v>
      </c>
      <c r="F230" s="13">
        <v>-31.669598700000002</v>
      </c>
      <c r="G230" s="13" t="s">
        <v>163</v>
      </c>
      <c r="H230" s="13" t="s">
        <v>222</v>
      </c>
      <c r="I230" s="13">
        <v>4</v>
      </c>
      <c r="J230" s="13">
        <f t="shared" si="41"/>
        <v>4</v>
      </c>
      <c r="K230" s="13">
        <v>6</v>
      </c>
      <c r="L230" s="13">
        <f t="shared" si="42"/>
        <v>4</v>
      </c>
      <c r="M230" s="14">
        <v>5.5555555555555558E-3</v>
      </c>
      <c r="N230" s="13">
        <v>4</v>
      </c>
      <c r="O230" s="13" t="str">
        <f t="shared" si="38"/>
        <v>COINCIDE</v>
      </c>
      <c r="P230" s="13" t="s">
        <v>221</v>
      </c>
      <c r="Q230" s="13" t="s">
        <v>22</v>
      </c>
      <c r="R230" s="13" t="s">
        <v>23</v>
      </c>
      <c r="S230" s="6"/>
      <c r="T230" s="6"/>
      <c r="U230" s="6"/>
      <c r="V230" s="6"/>
      <c r="W230" s="6"/>
      <c r="X230" s="6"/>
      <c r="Y230" s="6"/>
    </row>
    <row r="231" spans="1:25" ht="15.75" customHeight="1">
      <c r="A231" s="13" t="s">
        <v>18</v>
      </c>
      <c r="B231" s="13">
        <v>700021800</v>
      </c>
      <c r="C231" s="13">
        <v>7000137</v>
      </c>
      <c r="D231" s="13">
        <v>5442</v>
      </c>
      <c r="E231" s="13">
        <v>-67.303105700000003</v>
      </c>
      <c r="F231" s="13">
        <v>-31.476566699999999</v>
      </c>
      <c r="G231" s="13" t="s">
        <v>224</v>
      </c>
      <c r="H231" s="13" t="s">
        <v>222</v>
      </c>
      <c r="I231" s="13">
        <v>95</v>
      </c>
      <c r="J231" s="13">
        <f t="shared" si="41"/>
        <v>6</v>
      </c>
      <c r="K231" s="13">
        <v>113</v>
      </c>
      <c r="L231" s="13">
        <f t="shared" si="42"/>
        <v>6</v>
      </c>
      <c r="M231" s="14">
        <v>5.9027777777777783E-2</v>
      </c>
      <c r="N231" s="13">
        <v>7</v>
      </c>
      <c r="O231" s="13" t="str">
        <f t="shared" si="38"/>
        <v>COINCIDE</v>
      </c>
      <c r="P231" s="13" t="s">
        <v>221</v>
      </c>
      <c r="Q231" s="13" t="s">
        <v>22</v>
      </c>
      <c r="R231" s="13" t="s">
        <v>23</v>
      </c>
      <c r="S231" s="6"/>
      <c r="T231" s="6"/>
      <c r="U231" s="6"/>
      <c r="V231" s="6"/>
      <c r="W231" s="6"/>
      <c r="X231" s="6"/>
      <c r="Y231" s="6"/>
    </row>
    <row r="232" spans="1:25" ht="15.75" customHeight="1">
      <c r="A232" s="13" t="s">
        <v>18</v>
      </c>
      <c r="B232" s="13">
        <v>700008900</v>
      </c>
      <c r="C232" s="13">
        <v>7000138</v>
      </c>
      <c r="D232" s="13">
        <v>5442</v>
      </c>
      <c r="E232" s="13">
        <v>-68.290310700000006</v>
      </c>
      <c r="F232" s="13">
        <v>-31.601621600000001</v>
      </c>
      <c r="G232" s="13" t="s">
        <v>225</v>
      </c>
      <c r="H232" s="13" t="s">
        <v>222</v>
      </c>
      <c r="I232" s="13">
        <v>5.56</v>
      </c>
      <c r="J232" s="13">
        <f t="shared" si="41"/>
        <v>4</v>
      </c>
      <c r="K232" s="13">
        <v>6</v>
      </c>
      <c r="L232" s="13">
        <f t="shared" si="42"/>
        <v>4</v>
      </c>
      <c r="M232" s="14">
        <v>5.5555555555555558E-3</v>
      </c>
      <c r="N232" s="13">
        <v>4</v>
      </c>
      <c r="O232" s="13" t="str">
        <f t="shared" si="38"/>
        <v>COINCIDE</v>
      </c>
      <c r="P232" s="13" t="s">
        <v>221</v>
      </c>
      <c r="Q232" s="13" t="s">
        <v>22</v>
      </c>
      <c r="R232" s="13" t="s">
        <v>23</v>
      </c>
      <c r="S232" s="6"/>
      <c r="T232" s="6"/>
      <c r="U232" s="6"/>
      <c r="V232" s="6"/>
      <c r="W232" s="6"/>
      <c r="X232" s="6"/>
      <c r="Y232" s="6"/>
    </row>
    <row r="233" spans="1:25" ht="15.75" customHeight="1">
      <c r="A233" s="13" t="s">
        <v>18</v>
      </c>
      <c r="B233" s="13">
        <v>700009000</v>
      </c>
      <c r="C233" s="13">
        <v>7000139</v>
      </c>
      <c r="D233" s="13">
        <v>5442</v>
      </c>
      <c r="E233" s="13">
        <v>-68.304678800000005</v>
      </c>
      <c r="F233" s="13">
        <v>-31.592585400000001</v>
      </c>
      <c r="G233" s="13" t="s">
        <v>225</v>
      </c>
      <c r="H233" s="13" t="s">
        <v>222</v>
      </c>
      <c r="I233" s="13">
        <v>6.68</v>
      </c>
      <c r="J233" s="13">
        <f t="shared" si="41"/>
        <v>4</v>
      </c>
      <c r="K233" s="13">
        <v>8</v>
      </c>
      <c r="L233" s="13">
        <f t="shared" si="42"/>
        <v>4</v>
      </c>
      <c r="M233" s="14">
        <v>6.2499999999999995E-3</v>
      </c>
      <c r="N233" s="13">
        <v>4</v>
      </c>
      <c r="O233" s="13" t="str">
        <f t="shared" si="38"/>
        <v>COINCIDE</v>
      </c>
      <c r="P233" s="13" t="s">
        <v>221</v>
      </c>
      <c r="Q233" s="13" t="s">
        <v>22</v>
      </c>
      <c r="R233" s="13" t="s">
        <v>23</v>
      </c>
      <c r="S233" s="6"/>
      <c r="T233" s="6"/>
      <c r="U233" s="6"/>
      <c r="V233" s="6"/>
      <c r="W233" s="6"/>
      <c r="X233" s="6"/>
      <c r="Y233" s="6"/>
    </row>
    <row r="234" spans="1:25" ht="15.75" customHeight="1">
      <c r="A234" s="13" t="s">
        <v>18</v>
      </c>
      <c r="B234" s="13">
        <v>700056700</v>
      </c>
      <c r="C234" s="13">
        <v>7000141</v>
      </c>
      <c r="D234" s="13">
        <v>5442</v>
      </c>
      <c r="E234" s="13">
        <v>-67.527648400000004</v>
      </c>
      <c r="F234" s="13">
        <v>-31.279684100000001</v>
      </c>
      <c r="G234" s="13" t="s">
        <v>226</v>
      </c>
      <c r="H234" s="13" t="s">
        <v>222</v>
      </c>
      <c r="I234" s="13">
        <v>83.5</v>
      </c>
      <c r="J234" s="13">
        <f t="shared" si="41"/>
        <v>6</v>
      </c>
      <c r="K234" s="13">
        <v>136</v>
      </c>
      <c r="L234" s="13">
        <f t="shared" si="42"/>
        <v>6</v>
      </c>
      <c r="M234" s="14">
        <v>8.3333333333333329E-2</v>
      </c>
      <c r="N234" s="13">
        <v>7</v>
      </c>
      <c r="O234" s="13" t="str">
        <f t="shared" si="38"/>
        <v>COINCIDE</v>
      </c>
      <c r="P234" s="13" t="s">
        <v>221</v>
      </c>
      <c r="Q234" s="13" t="s">
        <v>22</v>
      </c>
      <c r="R234" s="13" t="s">
        <v>142</v>
      </c>
      <c r="S234" s="6"/>
      <c r="T234" s="6"/>
      <c r="U234" s="6"/>
      <c r="V234" s="6"/>
      <c r="W234" s="6"/>
      <c r="X234" s="6"/>
      <c r="Y234" s="6"/>
    </row>
    <row r="235" spans="1:25" ht="15.75" customHeight="1">
      <c r="A235" s="13" t="s">
        <v>18</v>
      </c>
      <c r="B235" s="13">
        <v>700022000</v>
      </c>
      <c r="C235" s="13">
        <v>7000142</v>
      </c>
      <c r="D235" s="13">
        <v>5442</v>
      </c>
      <c r="E235" s="13">
        <v>-66.893019699999996</v>
      </c>
      <c r="F235" s="13">
        <v>-31.888655700000001</v>
      </c>
      <c r="G235" s="13" t="s">
        <v>227</v>
      </c>
      <c r="H235" s="13" t="s">
        <v>222</v>
      </c>
      <c r="I235" s="13">
        <v>134</v>
      </c>
      <c r="J235" s="13">
        <f t="shared" si="41"/>
        <v>6</v>
      </c>
      <c r="K235" s="13">
        <v>200</v>
      </c>
      <c r="L235" s="13">
        <f t="shared" si="42"/>
        <v>6</v>
      </c>
      <c r="M235" s="14">
        <v>8.3333333333333329E-2</v>
      </c>
      <c r="N235" s="13">
        <v>7</v>
      </c>
      <c r="O235" s="13" t="str">
        <f t="shared" si="38"/>
        <v>COINCIDE</v>
      </c>
      <c r="P235" s="13" t="s">
        <v>221</v>
      </c>
      <c r="Q235" s="13" t="s">
        <v>22</v>
      </c>
      <c r="R235" s="13" t="s">
        <v>23</v>
      </c>
      <c r="S235" s="6"/>
      <c r="T235" s="6"/>
      <c r="U235" s="6"/>
      <c r="V235" s="6"/>
      <c r="W235" s="6"/>
      <c r="X235" s="6"/>
      <c r="Y235" s="6"/>
    </row>
    <row r="236" spans="1:25" ht="15.75" customHeight="1">
      <c r="A236" s="13" t="s">
        <v>18</v>
      </c>
      <c r="B236" s="13">
        <v>700039600</v>
      </c>
      <c r="C236" s="13">
        <v>7000143</v>
      </c>
      <c r="D236" s="13">
        <v>5442</v>
      </c>
      <c r="E236" s="13">
        <v>-68.268352800000002</v>
      </c>
      <c r="F236" s="13">
        <v>-31.627907799999999</v>
      </c>
      <c r="G236" s="13" t="s">
        <v>228</v>
      </c>
      <c r="H236" s="13" t="s">
        <v>222</v>
      </c>
      <c r="I236" s="13">
        <v>2.84</v>
      </c>
      <c r="J236" s="13">
        <f t="shared" si="41"/>
        <v>4</v>
      </c>
      <c r="K236" s="13">
        <v>4</v>
      </c>
      <c r="L236" s="13">
        <f t="shared" si="42"/>
        <v>4</v>
      </c>
      <c r="M236" s="14">
        <v>2.7777777777777779E-3</v>
      </c>
      <c r="N236" s="13">
        <v>4</v>
      </c>
      <c r="O236" s="13" t="str">
        <f t="shared" si="38"/>
        <v>COINCIDE</v>
      </c>
      <c r="P236" s="13" t="s">
        <v>221</v>
      </c>
      <c r="Q236" s="13" t="s">
        <v>22</v>
      </c>
      <c r="R236" s="13" t="s">
        <v>23</v>
      </c>
      <c r="S236" s="6"/>
      <c r="T236" s="6"/>
      <c r="U236" s="6"/>
      <c r="V236" s="6"/>
      <c r="W236" s="6"/>
      <c r="X236" s="6"/>
      <c r="Y236" s="6"/>
    </row>
    <row r="237" spans="1:25" ht="15.75" customHeight="1">
      <c r="A237" s="27" t="s">
        <v>18</v>
      </c>
      <c r="B237" s="27">
        <v>700056100</v>
      </c>
      <c r="C237" s="27">
        <v>7000232</v>
      </c>
      <c r="D237" s="27">
        <v>5427</v>
      </c>
      <c r="E237" s="27">
        <v>-68.566053199999999</v>
      </c>
      <c r="F237" s="27">
        <v>-31.7296984</v>
      </c>
      <c r="G237" s="27" t="s">
        <v>229</v>
      </c>
      <c r="H237" s="27" t="s">
        <v>20</v>
      </c>
      <c r="I237" s="27">
        <v>21</v>
      </c>
      <c r="J237" s="27">
        <f t="shared" ref="J237:J322" si="43">IF(I237&lt;=4,1,IF(I237&lt;=10,2,IF(I237&lt;=20,3,IF(I237&lt;=40,4,IF(I237&lt;=80,5,6)))))</f>
        <v>4</v>
      </c>
      <c r="K237" s="27">
        <v>25</v>
      </c>
      <c r="L237" s="27">
        <f t="shared" ref="L237:L322" si="44">IF(K237&lt;=4,1,IF(K237&lt;=10,2,IF(K237&lt;=20,3,IF(K237&lt;=40,4,IF(K237&lt;=80,5,6)))))</f>
        <v>4</v>
      </c>
      <c r="M237" s="28">
        <v>1.7361111111111112E-2</v>
      </c>
      <c r="N237" s="27">
        <v>4</v>
      </c>
      <c r="O237" s="27" t="str">
        <f t="shared" ref="O237:O245" si="45">IF(AVERAGE(J237,L237)=N237,"COINCIDE",IF(L237=N237,"INCONGRUENTE","DISTINTO"))</f>
        <v>COINCIDE</v>
      </c>
      <c r="P237" s="27" t="s">
        <v>230</v>
      </c>
      <c r="Q237" s="27" t="s">
        <v>22</v>
      </c>
      <c r="R237" s="27" t="s">
        <v>23</v>
      </c>
      <c r="S237" s="6"/>
      <c r="T237" s="6"/>
      <c r="U237" s="6"/>
      <c r="V237" s="6"/>
      <c r="W237" s="6"/>
      <c r="X237" s="6"/>
      <c r="Y237" s="6"/>
    </row>
    <row r="238" spans="1:25" ht="15.75" customHeight="1">
      <c r="A238" s="13" t="s">
        <v>18</v>
      </c>
      <c r="B238" s="13">
        <v>700020000</v>
      </c>
      <c r="C238" s="13">
        <v>7000233</v>
      </c>
      <c r="D238" s="13">
        <v>5427</v>
      </c>
      <c r="E238" s="13">
        <v>-68.564630800000003</v>
      </c>
      <c r="F238" s="13">
        <v>-31.765066600000001</v>
      </c>
      <c r="G238" s="13" t="s">
        <v>231</v>
      </c>
      <c r="H238" s="13" t="s">
        <v>20</v>
      </c>
      <c r="I238" s="13">
        <v>25.7</v>
      </c>
      <c r="J238" s="13">
        <f t="shared" si="43"/>
        <v>4</v>
      </c>
      <c r="K238" s="13">
        <v>28</v>
      </c>
      <c r="L238" s="13">
        <f t="shared" si="44"/>
        <v>4</v>
      </c>
      <c r="M238" s="14">
        <v>2.0833333333333332E-2</v>
      </c>
      <c r="N238" s="13">
        <v>4</v>
      </c>
      <c r="O238" s="13" t="str">
        <f t="shared" si="45"/>
        <v>COINCIDE</v>
      </c>
      <c r="P238" s="13" t="s">
        <v>230</v>
      </c>
      <c r="Q238" s="13" t="s">
        <v>22</v>
      </c>
      <c r="R238" s="13" t="s">
        <v>23</v>
      </c>
      <c r="S238" s="6"/>
      <c r="T238" s="6"/>
      <c r="U238" s="6"/>
      <c r="V238" s="6"/>
      <c r="W238" s="6"/>
      <c r="X238" s="6"/>
      <c r="Y238" s="6"/>
    </row>
    <row r="239" spans="1:25" ht="15.75" customHeight="1">
      <c r="A239" s="13" t="s">
        <v>18</v>
      </c>
      <c r="B239" s="13">
        <v>700020400</v>
      </c>
      <c r="C239" s="13">
        <v>7000234</v>
      </c>
      <c r="D239" s="13">
        <v>5427</v>
      </c>
      <c r="E239" s="13">
        <v>-68.546887299999995</v>
      </c>
      <c r="F239" s="13">
        <v>-31.8206004</v>
      </c>
      <c r="G239" s="13" t="s">
        <v>232</v>
      </c>
      <c r="H239" s="13" t="s">
        <v>20</v>
      </c>
      <c r="I239" s="13">
        <v>31.6</v>
      </c>
      <c r="J239" s="13">
        <f t="shared" si="43"/>
        <v>4</v>
      </c>
      <c r="K239" s="13">
        <v>34</v>
      </c>
      <c r="L239" s="13">
        <f t="shared" si="44"/>
        <v>4</v>
      </c>
      <c r="M239" s="14">
        <v>2.1527777777777781E-2</v>
      </c>
      <c r="N239" s="13">
        <v>4</v>
      </c>
      <c r="O239" s="13" t="str">
        <f t="shared" si="45"/>
        <v>COINCIDE</v>
      </c>
      <c r="P239" s="13" t="s">
        <v>230</v>
      </c>
      <c r="Q239" s="13" t="s">
        <v>22</v>
      </c>
      <c r="R239" s="13" t="s">
        <v>23</v>
      </c>
      <c r="S239" s="6"/>
      <c r="T239" s="6"/>
      <c r="U239" s="6"/>
      <c r="V239" s="6"/>
      <c r="W239" s="6"/>
      <c r="X239" s="6"/>
      <c r="Y239" s="6"/>
    </row>
    <row r="240" spans="1:25" ht="15.75" customHeight="1">
      <c r="A240" s="13" t="s">
        <v>18</v>
      </c>
      <c r="B240" s="13">
        <v>700019900</v>
      </c>
      <c r="C240" s="13">
        <v>7000235</v>
      </c>
      <c r="D240" s="13">
        <v>5427</v>
      </c>
      <c r="E240" s="13">
        <v>-68.554102099999994</v>
      </c>
      <c r="F240" s="13">
        <v>-31.7523801</v>
      </c>
      <c r="G240" s="13" t="s">
        <v>232</v>
      </c>
      <c r="H240" s="13" t="s">
        <v>20</v>
      </c>
      <c r="I240" s="13">
        <v>24.1</v>
      </c>
      <c r="J240" s="13">
        <f t="shared" si="43"/>
        <v>4</v>
      </c>
      <c r="K240" s="13">
        <v>25</v>
      </c>
      <c r="L240" s="13">
        <f t="shared" si="44"/>
        <v>4</v>
      </c>
      <c r="M240" s="14">
        <v>1.8055555555555557E-2</v>
      </c>
      <c r="N240" s="13">
        <v>4</v>
      </c>
      <c r="O240" s="13" t="str">
        <f t="shared" si="45"/>
        <v>COINCIDE</v>
      </c>
      <c r="P240" s="13" t="s">
        <v>230</v>
      </c>
      <c r="Q240" s="13" t="s">
        <v>22</v>
      </c>
      <c r="R240" s="13" t="s">
        <v>23</v>
      </c>
      <c r="S240" s="6"/>
      <c r="T240" s="6"/>
      <c r="U240" s="6"/>
      <c r="V240" s="6"/>
      <c r="W240" s="6"/>
      <c r="X240" s="6"/>
      <c r="Y240" s="6"/>
    </row>
    <row r="241" spans="1:25" ht="15.75" customHeight="1">
      <c r="A241" s="13" t="s">
        <v>18</v>
      </c>
      <c r="B241" s="13">
        <v>700020200</v>
      </c>
      <c r="C241" s="13">
        <v>7000237</v>
      </c>
      <c r="D241" s="13">
        <v>5427</v>
      </c>
      <c r="E241" s="13">
        <v>-68.528582099999994</v>
      </c>
      <c r="F241" s="13">
        <v>-31.821711100000002</v>
      </c>
      <c r="G241" s="13" t="s">
        <v>232</v>
      </c>
      <c r="H241" s="13" t="s">
        <v>20</v>
      </c>
      <c r="I241" s="13">
        <v>31.7</v>
      </c>
      <c r="J241" s="13">
        <f t="shared" si="43"/>
        <v>4</v>
      </c>
      <c r="K241" s="13">
        <v>34</v>
      </c>
      <c r="L241" s="13">
        <f t="shared" si="44"/>
        <v>4</v>
      </c>
      <c r="M241" s="14">
        <v>2.361111111111111E-2</v>
      </c>
      <c r="N241" s="13">
        <v>4</v>
      </c>
      <c r="O241" s="13" t="str">
        <f t="shared" si="45"/>
        <v>COINCIDE</v>
      </c>
      <c r="P241" s="13" t="s">
        <v>230</v>
      </c>
      <c r="Q241" s="13" t="s">
        <v>22</v>
      </c>
      <c r="R241" s="13" t="s">
        <v>23</v>
      </c>
      <c r="S241" s="6"/>
      <c r="T241" s="6"/>
      <c r="U241" s="6"/>
      <c r="V241" s="6"/>
      <c r="W241" s="6"/>
      <c r="X241" s="6"/>
      <c r="Y241" s="6"/>
    </row>
    <row r="242" spans="1:25" ht="15.75" customHeight="1">
      <c r="A242" s="7" t="s">
        <v>18</v>
      </c>
      <c r="B242" s="7">
        <v>700033900</v>
      </c>
      <c r="C242" s="7">
        <v>7000239</v>
      </c>
      <c r="D242" s="7">
        <v>5427</v>
      </c>
      <c r="E242" s="7">
        <v>-68.528663499999993</v>
      </c>
      <c r="F242" s="7">
        <v>-31.625131199999998</v>
      </c>
      <c r="G242" s="7" t="s">
        <v>233</v>
      </c>
      <c r="H242" s="7" t="s">
        <v>20</v>
      </c>
      <c r="I242" s="7">
        <v>9.86</v>
      </c>
      <c r="J242" s="35">
        <f t="shared" si="43"/>
        <v>2</v>
      </c>
      <c r="K242" s="7">
        <v>11</v>
      </c>
      <c r="L242" s="35">
        <f t="shared" si="44"/>
        <v>3</v>
      </c>
      <c r="M242" s="9">
        <v>1.0416666666666666E-2</v>
      </c>
      <c r="N242" s="7">
        <v>3</v>
      </c>
      <c r="O242" s="35" t="str">
        <f t="shared" si="45"/>
        <v>INCONGRUENTE</v>
      </c>
      <c r="P242" s="7" t="s">
        <v>230</v>
      </c>
      <c r="Q242" s="7" t="s">
        <v>22</v>
      </c>
      <c r="R242" s="7" t="s">
        <v>23</v>
      </c>
      <c r="S242" s="6"/>
      <c r="T242" s="6"/>
      <c r="U242" s="6"/>
      <c r="V242" s="6"/>
      <c r="W242" s="6"/>
      <c r="X242" s="6"/>
      <c r="Y242" s="6"/>
    </row>
    <row r="243" spans="1:25" ht="15.75" customHeight="1">
      <c r="A243" s="7" t="s">
        <v>18</v>
      </c>
      <c r="B243" s="7">
        <v>700019800</v>
      </c>
      <c r="C243" s="7">
        <v>7000240</v>
      </c>
      <c r="D243" s="7">
        <v>5427</v>
      </c>
      <c r="E243" s="7">
        <v>-68.600767000000005</v>
      </c>
      <c r="F243" s="7">
        <v>-31.686760700000001</v>
      </c>
      <c r="G243" s="7" t="s">
        <v>234</v>
      </c>
      <c r="H243" s="7" t="s">
        <v>20</v>
      </c>
      <c r="I243" s="7">
        <v>18.100000000000001</v>
      </c>
      <c r="J243" s="35">
        <f t="shared" si="43"/>
        <v>3</v>
      </c>
      <c r="K243" s="7">
        <v>24</v>
      </c>
      <c r="L243" s="35">
        <f t="shared" si="44"/>
        <v>4</v>
      </c>
      <c r="M243" s="9">
        <v>1.8749999999999999E-2</v>
      </c>
      <c r="N243" s="7">
        <v>4</v>
      </c>
      <c r="O243" s="35" t="str">
        <f t="shared" si="45"/>
        <v>INCONGRUENTE</v>
      </c>
      <c r="P243" s="7" t="s">
        <v>230</v>
      </c>
      <c r="Q243" s="7" t="s">
        <v>22</v>
      </c>
      <c r="R243" s="7" t="s">
        <v>23</v>
      </c>
      <c r="S243" s="6"/>
      <c r="T243" s="6"/>
      <c r="U243" s="6"/>
      <c r="V243" s="6"/>
      <c r="W243" s="6"/>
      <c r="X243" s="6"/>
      <c r="Y243" s="6"/>
    </row>
    <row r="244" spans="1:25" ht="15.75" customHeight="1">
      <c r="A244" s="7" t="s">
        <v>18</v>
      </c>
      <c r="B244" s="7">
        <v>700034300</v>
      </c>
      <c r="C244" s="7">
        <v>7000241</v>
      </c>
      <c r="D244" s="7">
        <v>5427</v>
      </c>
      <c r="E244" s="7">
        <v>-68.551142600000006</v>
      </c>
      <c r="F244" s="7">
        <v>-31.623151499999999</v>
      </c>
      <c r="G244" s="7" t="s">
        <v>235</v>
      </c>
      <c r="H244" s="7" t="s">
        <v>20</v>
      </c>
      <c r="I244" s="7">
        <v>9.81</v>
      </c>
      <c r="J244" s="35">
        <f t="shared" si="43"/>
        <v>2</v>
      </c>
      <c r="K244" s="7">
        <v>13</v>
      </c>
      <c r="L244" s="35">
        <f t="shared" si="44"/>
        <v>3</v>
      </c>
      <c r="M244" s="9">
        <v>1.1111111111111112E-2</v>
      </c>
      <c r="N244" s="7">
        <v>3</v>
      </c>
      <c r="O244" s="35" t="str">
        <f t="shared" si="45"/>
        <v>INCONGRUENTE</v>
      </c>
      <c r="P244" s="7" t="s">
        <v>230</v>
      </c>
      <c r="Q244" s="7" t="s">
        <v>22</v>
      </c>
      <c r="R244" s="7" t="s">
        <v>23</v>
      </c>
      <c r="S244" s="6"/>
      <c r="T244" s="6"/>
      <c r="U244" s="6"/>
      <c r="V244" s="6"/>
      <c r="W244" s="6"/>
      <c r="X244" s="6"/>
      <c r="Y244" s="6"/>
    </row>
    <row r="245" spans="1:25" ht="15.75" customHeight="1">
      <c r="A245" s="7" t="s">
        <v>18</v>
      </c>
      <c r="B245" s="7">
        <v>700019700</v>
      </c>
      <c r="C245" s="7">
        <v>7000242</v>
      </c>
      <c r="D245" s="7">
        <v>5427</v>
      </c>
      <c r="E245" s="7">
        <v>-68.578883300000001</v>
      </c>
      <c r="F245" s="7">
        <v>-31.704915700000001</v>
      </c>
      <c r="G245" s="7" t="s">
        <v>229</v>
      </c>
      <c r="H245" s="7" t="s">
        <v>20</v>
      </c>
      <c r="I245" s="7">
        <v>19.3</v>
      </c>
      <c r="J245" s="35">
        <f t="shared" si="43"/>
        <v>3</v>
      </c>
      <c r="K245" s="7">
        <v>23</v>
      </c>
      <c r="L245" s="35">
        <f t="shared" si="44"/>
        <v>4</v>
      </c>
      <c r="M245" s="9">
        <v>1.8055555555555557E-2</v>
      </c>
      <c r="N245" s="7">
        <v>4</v>
      </c>
      <c r="O245" s="35" t="str">
        <f t="shared" si="45"/>
        <v>INCONGRUENTE</v>
      </c>
      <c r="P245" s="7" t="s">
        <v>230</v>
      </c>
      <c r="Q245" s="7" t="s">
        <v>22</v>
      </c>
      <c r="R245" s="7" t="s">
        <v>23</v>
      </c>
      <c r="S245" s="6"/>
      <c r="T245" s="6"/>
      <c r="U245" s="6"/>
      <c r="V245" s="6"/>
      <c r="W245" s="6"/>
      <c r="X245" s="6"/>
      <c r="Y245" s="6"/>
    </row>
    <row r="246" spans="1:25" ht="15.75" customHeight="1">
      <c r="A246" s="11" t="s">
        <v>18</v>
      </c>
      <c r="B246" s="11">
        <v>700055900</v>
      </c>
      <c r="C246" s="11">
        <v>7000243</v>
      </c>
      <c r="D246" s="11">
        <v>5427</v>
      </c>
      <c r="E246" s="11">
        <v>-68.526587699999993</v>
      </c>
      <c r="F246" s="11">
        <v>-31.6902735</v>
      </c>
      <c r="G246" s="11" t="s">
        <v>229</v>
      </c>
      <c r="H246" s="11" t="s">
        <v>20</v>
      </c>
      <c r="I246" s="11">
        <v>17.100000000000001</v>
      </c>
      <c r="J246" s="11">
        <f t="shared" si="43"/>
        <v>3</v>
      </c>
      <c r="K246" s="11">
        <v>20</v>
      </c>
      <c r="L246" s="11">
        <f t="shared" si="44"/>
        <v>3</v>
      </c>
      <c r="M246" s="12">
        <v>1.5972222222222224E-2</v>
      </c>
      <c r="N246" s="11">
        <v>4</v>
      </c>
      <c r="O246" s="11" t="str">
        <f t="shared" ref="O246:O247" si="46">IF(AVERAGE(J246,L246)=N246,"COINCIDE",IF(L246=N246,"INCONGRUENTE",IF(N246=7,"COINCIDE","DISTINTO")))</f>
        <v>DISTINTO</v>
      </c>
      <c r="P246" s="11" t="s">
        <v>230</v>
      </c>
      <c r="Q246" s="11" t="s">
        <v>22</v>
      </c>
      <c r="R246" s="11" t="s">
        <v>23</v>
      </c>
      <c r="S246" s="6"/>
      <c r="T246" s="6"/>
      <c r="U246" s="6"/>
      <c r="V246" s="6"/>
      <c r="W246" s="6"/>
      <c r="X246" s="6"/>
      <c r="Y246" s="6"/>
    </row>
    <row r="247" spans="1:25" ht="15.75" customHeight="1">
      <c r="A247" s="11" t="s">
        <v>18</v>
      </c>
      <c r="B247" s="11">
        <v>700034500</v>
      </c>
      <c r="C247" s="11">
        <v>7000244</v>
      </c>
      <c r="D247" s="11">
        <v>5427</v>
      </c>
      <c r="E247" s="11">
        <v>-68.601666300000005</v>
      </c>
      <c r="F247" s="11">
        <v>-31.608984899999999</v>
      </c>
      <c r="G247" s="11" t="s">
        <v>236</v>
      </c>
      <c r="H247" s="11" t="s">
        <v>20</v>
      </c>
      <c r="I247" s="11">
        <v>10.8</v>
      </c>
      <c r="J247" s="11">
        <f t="shared" si="43"/>
        <v>3</v>
      </c>
      <c r="K247" s="11">
        <v>15</v>
      </c>
      <c r="L247" s="11">
        <f t="shared" si="44"/>
        <v>3</v>
      </c>
      <c r="M247" s="12">
        <v>1.7361111111111112E-2</v>
      </c>
      <c r="N247" s="11">
        <v>4</v>
      </c>
      <c r="O247" s="11" t="str">
        <f t="shared" si="46"/>
        <v>DISTINTO</v>
      </c>
      <c r="P247" s="11" t="s">
        <v>230</v>
      </c>
      <c r="Q247" s="11" t="s">
        <v>22</v>
      </c>
      <c r="R247" s="11" t="s">
        <v>23</v>
      </c>
      <c r="S247" s="6"/>
      <c r="T247" s="6"/>
      <c r="U247" s="6"/>
      <c r="V247" s="6"/>
      <c r="W247" s="6"/>
      <c r="X247" s="6"/>
      <c r="Y247" s="6"/>
    </row>
    <row r="248" spans="1:25" ht="15.75" customHeight="1">
      <c r="A248" s="7" t="s">
        <v>18</v>
      </c>
      <c r="B248" s="7">
        <v>700034400</v>
      </c>
      <c r="C248" s="7">
        <v>7000245</v>
      </c>
      <c r="D248" s="7">
        <v>5427</v>
      </c>
      <c r="E248" s="7">
        <v>-68.603332600000002</v>
      </c>
      <c r="F248" s="7">
        <v>-31.6496396</v>
      </c>
      <c r="G248" s="7" t="s">
        <v>237</v>
      </c>
      <c r="H248" s="7" t="s">
        <v>20</v>
      </c>
      <c r="I248" s="7">
        <v>14.5</v>
      </c>
      <c r="J248" s="35">
        <f t="shared" si="43"/>
        <v>3</v>
      </c>
      <c r="K248" s="7">
        <v>21</v>
      </c>
      <c r="L248" s="35">
        <f t="shared" si="44"/>
        <v>4</v>
      </c>
      <c r="M248" s="9">
        <v>1.8055555555555557E-2</v>
      </c>
      <c r="N248" s="7">
        <v>4</v>
      </c>
      <c r="O248" s="35" t="str">
        <f t="shared" ref="O248:O252" si="47">IF(AVERAGE(J248,L248)=N248,"COINCIDE",IF(L248=N248,"INCONGRUENTE","DISTINTO"))</f>
        <v>INCONGRUENTE</v>
      </c>
      <c r="P248" s="7" t="s">
        <v>230</v>
      </c>
      <c r="Q248" s="7" t="s">
        <v>22</v>
      </c>
      <c r="R248" s="7" t="s">
        <v>23</v>
      </c>
      <c r="S248" s="6"/>
      <c r="T248" s="6"/>
      <c r="U248" s="6"/>
      <c r="V248" s="6"/>
      <c r="W248" s="6"/>
      <c r="X248" s="6"/>
      <c r="Y248" s="6"/>
    </row>
    <row r="249" spans="1:25" ht="15.75" customHeight="1">
      <c r="A249" s="7" t="s">
        <v>18</v>
      </c>
      <c r="B249" s="7">
        <v>700019600</v>
      </c>
      <c r="C249" s="7">
        <v>7000246</v>
      </c>
      <c r="D249" s="7">
        <v>5427</v>
      </c>
      <c r="E249" s="7">
        <v>-68.572692099999998</v>
      </c>
      <c r="F249" s="7">
        <v>-31.691563500000001</v>
      </c>
      <c r="G249" s="7" t="s">
        <v>234</v>
      </c>
      <c r="H249" s="7" t="s">
        <v>20</v>
      </c>
      <c r="I249" s="7">
        <v>17.7</v>
      </c>
      <c r="J249" s="35">
        <f t="shared" si="43"/>
        <v>3</v>
      </c>
      <c r="K249" s="7">
        <v>21</v>
      </c>
      <c r="L249" s="35">
        <f t="shared" si="44"/>
        <v>4</v>
      </c>
      <c r="M249" s="9">
        <v>1.5972222222222224E-2</v>
      </c>
      <c r="N249" s="7">
        <v>4</v>
      </c>
      <c r="O249" s="35" t="str">
        <f t="shared" si="47"/>
        <v>INCONGRUENTE</v>
      </c>
      <c r="P249" s="7" t="s">
        <v>230</v>
      </c>
      <c r="Q249" s="7" t="s">
        <v>22</v>
      </c>
      <c r="R249" s="7" t="s">
        <v>238</v>
      </c>
      <c r="S249" s="6"/>
      <c r="T249" s="6"/>
      <c r="U249" s="6"/>
      <c r="V249" s="6"/>
      <c r="W249" s="6"/>
      <c r="X249" s="6"/>
      <c r="Y249" s="6"/>
    </row>
    <row r="250" spans="1:25" ht="15.75" customHeight="1">
      <c r="A250" s="7" t="s">
        <v>18</v>
      </c>
      <c r="B250" s="7">
        <v>700003300</v>
      </c>
      <c r="C250" s="7">
        <v>7000247</v>
      </c>
      <c r="D250" s="7">
        <v>5427</v>
      </c>
      <c r="E250" s="7">
        <v>-68.577099200000006</v>
      </c>
      <c r="F250" s="7">
        <v>-31.610376500000001</v>
      </c>
      <c r="G250" s="7" t="s">
        <v>239</v>
      </c>
      <c r="H250" s="7" t="s">
        <v>20</v>
      </c>
      <c r="I250" s="7">
        <v>9.48</v>
      </c>
      <c r="J250" s="35">
        <f t="shared" si="43"/>
        <v>2</v>
      </c>
      <c r="K250" s="7">
        <v>11</v>
      </c>
      <c r="L250" s="35">
        <f t="shared" si="44"/>
        <v>3</v>
      </c>
      <c r="M250" s="9">
        <v>1.4583333333333332E-2</v>
      </c>
      <c r="N250" s="7">
        <v>3</v>
      </c>
      <c r="O250" s="35" t="str">
        <f t="shared" si="47"/>
        <v>INCONGRUENTE</v>
      </c>
      <c r="P250" s="7" t="s">
        <v>230</v>
      </c>
      <c r="Q250" s="7" t="s">
        <v>22</v>
      </c>
      <c r="R250" s="7" t="s">
        <v>23</v>
      </c>
      <c r="S250" s="6"/>
      <c r="T250" s="6"/>
      <c r="U250" s="6"/>
      <c r="V250" s="6"/>
      <c r="W250" s="6"/>
      <c r="X250" s="6"/>
      <c r="Y250" s="6"/>
    </row>
    <row r="251" spans="1:25" ht="15.75" customHeight="1">
      <c r="A251" s="13" t="s">
        <v>18</v>
      </c>
      <c r="B251" s="13">
        <v>700003400</v>
      </c>
      <c r="C251" s="13">
        <v>7000248</v>
      </c>
      <c r="D251" s="13">
        <v>5427</v>
      </c>
      <c r="E251" s="13">
        <v>-68.584931900000001</v>
      </c>
      <c r="F251" s="13">
        <v>-31.627395100000001</v>
      </c>
      <c r="G251" s="13" t="s">
        <v>239</v>
      </c>
      <c r="H251" s="13" t="s">
        <v>20</v>
      </c>
      <c r="I251" s="13">
        <v>11.6</v>
      </c>
      <c r="J251" s="13">
        <f t="shared" si="43"/>
        <v>3</v>
      </c>
      <c r="K251" s="13">
        <v>17</v>
      </c>
      <c r="L251" s="13">
        <f t="shared" si="44"/>
        <v>3</v>
      </c>
      <c r="M251" s="14">
        <v>1.5972222222222224E-2</v>
      </c>
      <c r="N251" s="13">
        <v>3</v>
      </c>
      <c r="O251" s="13" t="str">
        <f t="shared" si="47"/>
        <v>COINCIDE</v>
      </c>
      <c r="P251" s="13" t="s">
        <v>230</v>
      </c>
      <c r="Q251" s="13" t="s">
        <v>22</v>
      </c>
      <c r="R251" s="13" t="s">
        <v>23</v>
      </c>
      <c r="S251" s="6"/>
      <c r="T251" s="6"/>
      <c r="U251" s="6"/>
      <c r="V251" s="6"/>
      <c r="W251" s="6"/>
      <c r="X251" s="6"/>
      <c r="Y251" s="6"/>
    </row>
    <row r="252" spans="1:25" ht="15.75" customHeight="1">
      <c r="A252" s="13" t="s">
        <v>18</v>
      </c>
      <c r="B252" s="13">
        <v>700020700</v>
      </c>
      <c r="C252" s="13">
        <v>7000249</v>
      </c>
      <c r="D252" s="13">
        <v>5427</v>
      </c>
      <c r="E252" s="13">
        <v>-68.562613600000006</v>
      </c>
      <c r="F252" s="13">
        <v>-31.649294399999999</v>
      </c>
      <c r="G252" s="13" t="s">
        <v>240</v>
      </c>
      <c r="H252" s="13" t="s">
        <v>20</v>
      </c>
      <c r="I252" s="13">
        <v>13</v>
      </c>
      <c r="J252" s="13">
        <f t="shared" si="43"/>
        <v>3</v>
      </c>
      <c r="K252" s="13">
        <v>16</v>
      </c>
      <c r="L252" s="13">
        <f t="shared" si="44"/>
        <v>3</v>
      </c>
      <c r="M252" s="14">
        <v>1.3194444444444444E-2</v>
      </c>
      <c r="N252" s="13">
        <v>3</v>
      </c>
      <c r="O252" s="13" t="str">
        <f t="shared" si="47"/>
        <v>COINCIDE</v>
      </c>
      <c r="P252" s="13" t="s">
        <v>230</v>
      </c>
      <c r="Q252" s="13" t="s">
        <v>22</v>
      </c>
      <c r="R252" s="13" t="s">
        <v>23</v>
      </c>
      <c r="S252" s="6"/>
      <c r="T252" s="6"/>
      <c r="U252" s="6"/>
      <c r="V252" s="6"/>
      <c r="W252" s="6"/>
      <c r="X252" s="6"/>
      <c r="Y252" s="6"/>
    </row>
    <row r="253" spans="1:25" ht="15.75" customHeight="1">
      <c r="A253" s="11" t="s">
        <v>18</v>
      </c>
      <c r="B253" s="11">
        <v>700020600</v>
      </c>
      <c r="C253" s="11">
        <v>7000250</v>
      </c>
      <c r="D253" s="11">
        <v>5427</v>
      </c>
      <c r="E253" s="11">
        <v>-68.580214499999997</v>
      </c>
      <c r="F253" s="11">
        <v>-31.657601700000001</v>
      </c>
      <c r="G253" s="11" t="s">
        <v>240</v>
      </c>
      <c r="H253" s="11" t="s">
        <v>20</v>
      </c>
      <c r="I253" s="11">
        <v>14.4</v>
      </c>
      <c r="J253" s="11">
        <f t="shared" si="43"/>
        <v>3</v>
      </c>
      <c r="K253" s="11">
        <v>19</v>
      </c>
      <c r="L253" s="11">
        <f t="shared" si="44"/>
        <v>3</v>
      </c>
      <c r="M253" s="12">
        <v>1.6666666666666666E-2</v>
      </c>
      <c r="N253" s="11">
        <v>4</v>
      </c>
      <c r="O253" s="11" t="str">
        <f t="shared" ref="O253:O259" si="48">IF(AVERAGE(J253,L253)=N253,"COINCIDE",IF(L253=N253,"INCONGRUENTE",IF(N253=7,"COINCIDE","DISTINTO")))</f>
        <v>DISTINTO</v>
      </c>
      <c r="P253" s="11" t="s">
        <v>230</v>
      </c>
      <c r="Q253" s="11" t="s">
        <v>22</v>
      </c>
      <c r="R253" s="11" t="s">
        <v>23</v>
      </c>
      <c r="S253" s="6"/>
      <c r="T253" s="6"/>
      <c r="U253" s="6"/>
      <c r="V253" s="6"/>
      <c r="W253" s="6"/>
      <c r="X253" s="6"/>
      <c r="Y253" s="6"/>
    </row>
    <row r="254" spans="1:25" ht="15.75" customHeight="1">
      <c r="A254" s="11" t="s">
        <v>18</v>
      </c>
      <c r="B254" s="11">
        <v>700056300</v>
      </c>
      <c r="C254" s="11">
        <v>7000251</v>
      </c>
      <c r="D254" s="11">
        <v>5427</v>
      </c>
      <c r="E254" s="11">
        <v>-68.562680299999997</v>
      </c>
      <c r="F254" s="11">
        <v>-31.670666499999999</v>
      </c>
      <c r="G254" s="11" t="s">
        <v>240</v>
      </c>
      <c r="H254" s="11" t="s">
        <v>20</v>
      </c>
      <c r="I254" s="11">
        <v>15.3</v>
      </c>
      <c r="J254" s="11">
        <f t="shared" si="43"/>
        <v>3</v>
      </c>
      <c r="K254" s="11">
        <v>18</v>
      </c>
      <c r="L254" s="11">
        <f t="shared" si="44"/>
        <v>3</v>
      </c>
      <c r="M254" s="12">
        <v>1.3888888888888888E-2</v>
      </c>
      <c r="N254" s="11">
        <v>4</v>
      </c>
      <c r="O254" s="11" t="str">
        <f t="shared" si="48"/>
        <v>DISTINTO</v>
      </c>
      <c r="P254" s="11" t="s">
        <v>230</v>
      </c>
      <c r="Q254" s="11" t="s">
        <v>22</v>
      </c>
      <c r="R254" s="11" t="s">
        <v>23</v>
      </c>
      <c r="S254" s="6"/>
      <c r="T254" s="6"/>
      <c r="U254" s="6"/>
      <c r="V254" s="6"/>
      <c r="W254" s="6"/>
      <c r="X254" s="6"/>
      <c r="Y254" s="6"/>
    </row>
    <row r="255" spans="1:25" ht="15.75" customHeight="1">
      <c r="A255" s="11" t="s">
        <v>64</v>
      </c>
      <c r="B255" s="11">
        <v>700020800</v>
      </c>
      <c r="C255" s="11">
        <v>7000252</v>
      </c>
      <c r="D255" s="11">
        <v>5427</v>
      </c>
      <c r="E255" s="11">
        <v>-68.581247599999998</v>
      </c>
      <c r="F255" s="11">
        <v>-31.659607000000001</v>
      </c>
      <c r="G255" s="11" t="s">
        <v>240</v>
      </c>
      <c r="H255" s="11" t="s">
        <v>20</v>
      </c>
      <c r="I255" s="11">
        <v>14.6</v>
      </c>
      <c r="J255" s="11">
        <f t="shared" si="43"/>
        <v>3</v>
      </c>
      <c r="K255" s="11">
        <v>19</v>
      </c>
      <c r="L255" s="11">
        <f t="shared" si="44"/>
        <v>3</v>
      </c>
      <c r="M255" s="12">
        <v>1.6666666666666666E-2</v>
      </c>
      <c r="N255" s="11">
        <v>4</v>
      </c>
      <c r="O255" s="11" t="str">
        <f t="shared" si="48"/>
        <v>DISTINTO</v>
      </c>
      <c r="P255" s="11" t="s">
        <v>230</v>
      </c>
      <c r="Q255" s="11" t="s">
        <v>22</v>
      </c>
      <c r="R255" s="11" t="s">
        <v>23</v>
      </c>
      <c r="S255" s="6"/>
      <c r="T255" s="6"/>
      <c r="U255" s="6"/>
      <c r="V255" s="6"/>
      <c r="W255" s="6"/>
      <c r="X255" s="6"/>
      <c r="Y255" s="6"/>
    </row>
    <row r="256" spans="1:25" ht="15.75" customHeight="1">
      <c r="A256" s="11" t="s">
        <v>18</v>
      </c>
      <c r="B256" s="11">
        <v>700034200</v>
      </c>
      <c r="C256" s="11">
        <v>7000253</v>
      </c>
      <c r="D256" s="11">
        <v>5427</v>
      </c>
      <c r="E256" s="11">
        <v>-68.543070299999997</v>
      </c>
      <c r="F256" s="11">
        <v>-31.592489799999999</v>
      </c>
      <c r="G256" s="11" t="s">
        <v>241</v>
      </c>
      <c r="H256" s="11" t="s">
        <v>20</v>
      </c>
      <c r="I256" s="11">
        <v>6.41</v>
      </c>
      <c r="J256" s="11">
        <f t="shared" si="43"/>
        <v>2</v>
      </c>
      <c r="K256" s="11">
        <v>9</v>
      </c>
      <c r="L256" s="11">
        <f t="shared" si="44"/>
        <v>2</v>
      </c>
      <c r="M256" s="12">
        <v>9.7222222222222224E-3</v>
      </c>
      <c r="N256" s="11">
        <v>3</v>
      </c>
      <c r="O256" s="11" t="str">
        <f t="shared" si="48"/>
        <v>DISTINTO</v>
      </c>
      <c r="P256" s="11" t="s">
        <v>230</v>
      </c>
      <c r="Q256" s="11" t="s">
        <v>22</v>
      </c>
      <c r="R256" s="11" t="s">
        <v>23</v>
      </c>
      <c r="S256" s="6"/>
      <c r="T256" s="6"/>
      <c r="U256" s="6"/>
      <c r="V256" s="6"/>
      <c r="W256" s="6"/>
      <c r="X256" s="6"/>
      <c r="Y256" s="6"/>
    </row>
    <row r="257" spans="1:25" ht="15.75" customHeight="1">
      <c r="A257" s="11" t="s">
        <v>18</v>
      </c>
      <c r="B257" s="11">
        <v>700034000</v>
      </c>
      <c r="C257" s="11">
        <v>7000441</v>
      </c>
      <c r="D257" s="11">
        <v>5427</v>
      </c>
      <c r="E257" s="11">
        <v>-68.609446399999996</v>
      </c>
      <c r="F257" s="11">
        <v>-31.626451800000002</v>
      </c>
      <c r="G257" s="11" t="s">
        <v>236</v>
      </c>
      <c r="H257" s="11" t="s">
        <v>20</v>
      </c>
      <c r="I257" s="11">
        <v>12.8</v>
      </c>
      <c r="J257" s="11">
        <f t="shared" si="43"/>
        <v>3</v>
      </c>
      <c r="K257" s="11">
        <v>16</v>
      </c>
      <c r="L257" s="11">
        <f t="shared" si="44"/>
        <v>3</v>
      </c>
      <c r="M257" s="12">
        <v>1.8749999999999999E-2</v>
      </c>
      <c r="N257" s="11">
        <v>4</v>
      </c>
      <c r="O257" s="11" t="str">
        <f t="shared" si="48"/>
        <v>DISTINTO</v>
      </c>
      <c r="P257" s="11" t="s">
        <v>230</v>
      </c>
      <c r="Q257" s="11" t="s">
        <v>22</v>
      </c>
      <c r="R257" s="11" t="s">
        <v>23</v>
      </c>
      <c r="S257" s="6"/>
      <c r="T257" s="6"/>
      <c r="U257" s="6"/>
      <c r="V257" s="6"/>
      <c r="W257" s="6"/>
      <c r="X257" s="6"/>
      <c r="Y257" s="6"/>
    </row>
    <row r="258" spans="1:25" ht="15.75" customHeight="1">
      <c r="A258" s="11" t="s">
        <v>18</v>
      </c>
      <c r="B258" s="11">
        <v>700020300</v>
      </c>
      <c r="C258" s="11">
        <v>7050177</v>
      </c>
      <c r="D258" s="11">
        <v>5427</v>
      </c>
      <c r="E258" s="11">
        <v>-68.534147599999997</v>
      </c>
      <c r="F258" s="11">
        <v>-31.8584657</v>
      </c>
      <c r="G258" s="11" t="s">
        <v>232</v>
      </c>
      <c r="H258" s="11" t="s">
        <v>20</v>
      </c>
      <c r="I258" s="11">
        <v>35.4</v>
      </c>
      <c r="J258" s="11">
        <f t="shared" si="43"/>
        <v>4</v>
      </c>
      <c r="K258" s="11">
        <v>38</v>
      </c>
      <c r="L258" s="11">
        <f t="shared" si="44"/>
        <v>4</v>
      </c>
      <c r="M258" s="12">
        <v>2.4305555555555556E-2</v>
      </c>
      <c r="N258" s="11">
        <v>5</v>
      </c>
      <c r="O258" s="11" t="str">
        <f t="shared" si="48"/>
        <v>DISTINTO</v>
      </c>
      <c r="P258" s="11" t="s">
        <v>230</v>
      </c>
      <c r="Q258" s="11" t="s">
        <v>22</v>
      </c>
      <c r="R258" s="11" t="s">
        <v>23</v>
      </c>
      <c r="S258" s="6"/>
      <c r="T258" s="6"/>
      <c r="U258" s="6"/>
      <c r="V258" s="6"/>
      <c r="W258" s="6"/>
      <c r="X258" s="6"/>
      <c r="Y258" s="6"/>
    </row>
    <row r="259" spans="1:25" ht="15.75" customHeight="1">
      <c r="A259" s="11" t="s">
        <v>18</v>
      </c>
      <c r="B259" s="11">
        <v>700034100</v>
      </c>
      <c r="C259" s="11">
        <v>7050253</v>
      </c>
      <c r="D259" s="11">
        <v>5427</v>
      </c>
      <c r="E259" s="11">
        <v>-68.555487200000002</v>
      </c>
      <c r="F259" s="11">
        <v>-31.597415300000002</v>
      </c>
      <c r="G259" s="11" t="s">
        <v>242</v>
      </c>
      <c r="H259" s="11" t="s">
        <v>20</v>
      </c>
      <c r="I259" s="11">
        <v>7.31</v>
      </c>
      <c r="J259" s="11">
        <f t="shared" si="43"/>
        <v>2</v>
      </c>
      <c r="K259" s="11">
        <v>8</v>
      </c>
      <c r="L259" s="11">
        <f t="shared" si="44"/>
        <v>2</v>
      </c>
      <c r="M259" s="12">
        <v>1.2499999999999999E-2</v>
      </c>
      <c r="N259" s="11">
        <v>3</v>
      </c>
      <c r="O259" s="11" t="str">
        <f t="shared" si="48"/>
        <v>DISTINTO</v>
      </c>
      <c r="P259" s="11" t="s">
        <v>230</v>
      </c>
      <c r="Q259" s="11" t="s">
        <v>22</v>
      </c>
      <c r="R259" s="11" t="s">
        <v>23</v>
      </c>
      <c r="S259" s="6"/>
      <c r="T259" s="6"/>
      <c r="U259" s="6"/>
      <c r="V259" s="6"/>
      <c r="W259" s="6"/>
      <c r="X259" s="6"/>
      <c r="Y259" s="6"/>
    </row>
    <row r="260" spans="1:25" ht="15.75" customHeight="1">
      <c r="A260" s="13" t="s">
        <v>18</v>
      </c>
      <c r="B260" s="13">
        <v>700056000</v>
      </c>
      <c r="C260" s="13">
        <v>7050402</v>
      </c>
      <c r="D260" s="13">
        <v>5427</v>
      </c>
      <c r="E260" s="13">
        <v>-68.515723300000005</v>
      </c>
      <c r="F260" s="13">
        <v>-31.7756401</v>
      </c>
      <c r="G260" s="13" t="s">
        <v>232</v>
      </c>
      <c r="H260" s="13" t="s">
        <v>20</v>
      </c>
      <c r="I260" s="13">
        <v>26.6</v>
      </c>
      <c r="J260" s="13">
        <f t="shared" si="43"/>
        <v>4</v>
      </c>
      <c r="K260" s="13">
        <v>31</v>
      </c>
      <c r="L260" s="13">
        <f t="shared" si="44"/>
        <v>4</v>
      </c>
      <c r="M260" s="14">
        <v>2.2222222222222223E-2</v>
      </c>
      <c r="N260" s="13">
        <v>4</v>
      </c>
      <c r="O260" s="13" t="str">
        <f>IF(AVERAGE(J260,L260)=N260,"COINCIDE",IF(L260=N260,"INCONGRUENTE","DISTINTO"))</f>
        <v>COINCIDE</v>
      </c>
      <c r="P260" s="13" t="s">
        <v>230</v>
      </c>
      <c r="Q260" s="13" t="s">
        <v>22</v>
      </c>
      <c r="R260" s="13" t="s">
        <v>23</v>
      </c>
      <c r="S260" s="6"/>
      <c r="T260" s="6"/>
      <c r="U260" s="6"/>
      <c r="V260" s="6"/>
      <c r="W260" s="6"/>
      <c r="X260" s="6"/>
      <c r="Y260" s="6"/>
    </row>
    <row r="261" spans="1:25" ht="15.75" customHeight="1">
      <c r="A261" s="11" t="s">
        <v>40</v>
      </c>
      <c r="B261" s="11">
        <v>700020500</v>
      </c>
      <c r="C261" s="11" t="s">
        <v>243</v>
      </c>
      <c r="D261" s="11">
        <v>5427</v>
      </c>
      <c r="E261" s="11">
        <v>-68.581923399999994</v>
      </c>
      <c r="F261" s="11">
        <v>-31.649094000000002</v>
      </c>
      <c r="G261" s="11" t="s">
        <v>230</v>
      </c>
      <c r="H261" s="11" t="s">
        <v>20</v>
      </c>
      <c r="I261" s="11">
        <v>13.6</v>
      </c>
      <c r="J261" s="11">
        <f t="shared" si="43"/>
        <v>3</v>
      </c>
      <c r="K261" s="11">
        <v>18</v>
      </c>
      <c r="L261" s="11">
        <f t="shared" si="44"/>
        <v>3</v>
      </c>
      <c r="M261" s="12">
        <v>1.5972222222222224E-2</v>
      </c>
      <c r="N261" s="11">
        <v>4</v>
      </c>
      <c r="O261" s="11" t="str">
        <f>IF(AVERAGE(J261,L261)=N261,"COINCIDE",IF(L261=N261,"INCONGRUENTE",IF(N261=7,"COINCIDE","DISTINTO")))</f>
        <v>DISTINTO</v>
      </c>
      <c r="P261" s="11" t="s">
        <v>230</v>
      </c>
      <c r="Q261" s="11" t="s">
        <v>22</v>
      </c>
      <c r="R261" s="11" t="s">
        <v>23</v>
      </c>
      <c r="S261" s="6"/>
      <c r="T261" s="6"/>
      <c r="U261" s="6"/>
      <c r="V261" s="6"/>
      <c r="W261" s="6"/>
      <c r="X261" s="6"/>
      <c r="Y261" s="6"/>
    </row>
    <row r="262" spans="1:25" ht="15.75" customHeight="1">
      <c r="A262" s="13" t="s">
        <v>18</v>
      </c>
      <c r="B262" s="13">
        <v>700083500</v>
      </c>
      <c r="C262" s="13" t="s">
        <v>244</v>
      </c>
      <c r="D262" s="13">
        <v>5427</v>
      </c>
      <c r="E262" s="13">
        <v>-68.554726400000007</v>
      </c>
      <c r="F262" s="13">
        <v>-31.5855733</v>
      </c>
      <c r="G262" s="13" t="s">
        <v>245</v>
      </c>
      <c r="H262" s="13" t="s">
        <v>20</v>
      </c>
      <c r="I262" s="13">
        <v>6.1</v>
      </c>
      <c r="J262" s="13">
        <f t="shared" si="43"/>
        <v>2</v>
      </c>
      <c r="K262" s="13">
        <v>7</v>
      </c>
      <c r="L262" s="13">
        <f t="shared" si="44"/>
        <v>2</v>
      </c>
      <c r="M262" s="14">
        <v>9.7222222222222224E-3</v>
      </c>
      <c r="N262" s="13">
        <v>2</v>
      </c>
      <c r="O262" s="13" t="str">
        <f>IF(AVERAGE(J262,L262)=N262,"COINCIDE",IF(L262=N262,"INCONGRUENTE","DISTINTO"))</f>
        <v>COINCIDE</v>
      </c>
      <c r="P262" s="13" t="s">
        <v>230</v>
      </c>
      <c r="Q262" s="13" t="s">
        <v>22</v>
      </c>
      <c r="R262" s="13" t="s">
        <v>23</v>
      </c>
      <c r="S262" s="6"/>
      <c r="T262" s="6"/>
      <c r="U262" s="6"/>
      <c r="V262" s="6"/>
      <c r="W262" s="6"/>
      <c r="X262" s="6"/>
      <c r="Y262" s="6"/>
    </row>
    <row r="263" spans="1:25" ht="15.75" customHeight="1">
      <c r="A263" s="11" t="s">
        <v>18</v>
      </c>
      <c r="B263" s="11">
        <v>700083400</v>
      </c>
      <c r="C263" s="11" t="s">
        <v>246</v>
      </c>
      <c r="D263" s="11">
        <v>5427</v>
      </c>
      <c r="E263" s="11">
        <v>-68.571523299999996</v>
      </c>
      <c r="F263" s="11">
        <v>-31.598233700000002</v>
      </c>
      <c r="G263" s="11" t="s">
        <v>230</v>
      </c>
      <c r="H263" s="11" t="s">
        <v>20</v>
      </c>
      <c r="I263" s="11">
        <v>8.11</v>
      </c>
      <c r="J263" s="11">
        <f t="shared" si="43"/>
        <v>2</v>
      </c>
      <c r="K263" s="11">
        <v>10</v>
      </c>
      <c r="L263" s="11">
        <f t="shared" si="44"/>
        <v>2</v>
      </c>
      <c r="M263" s="12">
        <v>1.3888888888888888E-2</v>
      </c>
      <c r="N263" s="11">
        <v>3</v>
      </c>
      <c r="O263" s="11" t="str">
        <f>IF(AVERAGE(J263,L263)=N263,"COINCIDE",IF(L263=N263,"INCONGRUENTE",IF(N263=7,"COINCIDE","DISTINTO")))</f>
        <v>DISTINTO</v>
      </c>
      <c r="P263" s="11" t="s">
        <v>230</v>
      </c>
      <c r="Q263" s="11" t="s">
        <v>22</v>
      </c>
      <c r="R263" s="11" t="s">
        <v>23</v>
      </c>
      <c r="S263" s="6"/>
      <c r="T263" s="6"/>
      <c r="U263" s="6"/>
      <c r="V263" s="6"/>
      <c r="W263" s="6"/>
      <c r="X263" s="6"/>
      <c r="Y263" s="6"/>
    </row>
    <row r="264" spans="1:25" ht="15.75" customHeight="1">
      <c r="A264" s="7" t="s">
        <v>64</v>
      </c>
      <c r="B264" s="7">
        <v>700019600</v>
      </c>
      <c r="C264" s="7" t="s">
        <v>247</v>
      </c>
      <c r="D264" s="7">
        <v>5427</v>
      </c>
      <c r="E264" s="7">
        <v>-68.572592900000004</v>
      </c>
      <c r="F264" s="7">
        <v>-31.691474500000002</v>
      </c>
      <c r="G264" s="7" t="s">
        <v>234</v>
      </c>
      <c r="H264" s="7" t="s">
        <v>20</v>
      </c>
      <c r="I264" s="7">
        <v>17.7</v>
      </c>
      <c r="J264" s="35">
        <f t="shared" si="43"/>
        <v>3</v>
      </c>
      <c r="K264" s="7">
        <v>21</v>
      </c>
      <c r="L264" s="35">
        <f t="shared" si="44"/>
        <v>4</v>
      </c>
      <c r="M264" s="9">
        <v>1.5972222222222224E-2</v>
      </c>
      <c r="N264" s="7">
        <v>4</v>
      </c>
      <c r="O264" s="35" t="str">
        <f>IF(AVERAGE(J264,L264)=N264,"COINCIDE",IF(L264=N264,"INCONGRUENTE","DISTINTO"))</f>
        <v>INCONGRUENTE</v>
      </c>
      <c r="P264" s="7" t="s">
        <v>230</v>
      </c>
      <c r="Q264" s="7" t="s">
        <v>22</v>
      </c>
      <c r="R264" s="7" t="s">
        <v>248</v>
      </c>
      <c r="S264" s="6"/>
      <c r="T264" s="6"/>
      <c r="U264" s="6"/>
      <c r="V264" s="6"/>
      <c r="W264" s="6"/>
      <c r="X264" s="6"/>
      <c r="Y264" s="6"/>
    </row>
    <row r="265" spans="1:25" ht="15.75" customHeight="1">
      <c r="A265" s="11" t="s">
        <v>42</v>
      </c>
      <c r="B265" s="11">
        <v>700086800</v>
      </c>
      <c r="C265" s="11" t="s">
        <v>249</v>
      </c>
      <c r="D265" s="11">
        <v>5427</v>
      </c>
      <c r="E265" s="11">
        <v>-68.58372</v>
      </c>
      <c r="F265" s="11">
        <v>-31.657910900000001</v>
      </c>
      <c r="G265" s="11" t="s">
        <v>240</v>
      </c>
      <c r="H265" s="11" t="s">
        <v>20</v>
      </c>
      <c r="I265" s="11">
        <v>14.6</v>
      </c>
      <c r="J265" s="11">
        <f t="shared" si="43"/>
        <v>3</v>
      </c>
      <c r="K265" s="11">
        <v>19</v>
      </c>
      <c r="L265" s="11">
        <f t="shared" si="44"/>
        <v>3</v>
      </c>
      <c r="M265" s="12">
        <v>1.7361111111111112E-2</v>
      </c>
      <c r="N265" s="11">
        <v>4</v>
      </c>
      <c r="O265" s="11" t="str">
        <f>IF(AVERAGE(J265,L265)=N265,"COINCIDE",IF(L265=N265,"INCONGRUENTE",IF(N265=7,"COINCIDE","DISTINTO")))</f>
        <v>DISTINTO</v>
      </c>
      <c r="P265" s="11" t="s">
        <v>230</v>
      </c>
      <c r="Q265" s="11" t="s">
        <v>22</v>
      </c>
      <c r="R265" s="11" t="s">
        <v>23</v>
      </c>
      <c r="S265" s="6"/>
      <c r="T265" s="6"/>
      <c r="U265" s="6"/>
      <c r="V265" s="6"/>
      <c r="W265" s="6"/>
      <c r="X265" s="6"/>
      <c r="Y265" s="6"/>
    </row>
    <row r="266" spans="1:25" ht="15.75" customHeight="1">
      <c r="A266" s="13" t="s">
        <v>18</v>
      </c>
      <c r="B266" s="13">
        <v>700030000</v>
      </c>
      <c r="C266" s="13">
        <v>7000255</v>
      </c>
      <c r="D266" s="13">
        <v>5406</v>
      </c>
      <c r="E266" s="13">
        <v>-68.518705499999996</v>
      </c>
      <c r="F266" s="13">
        <v>-31.576726399999998</v>
      </c>
      <c r="G266" s="13" t="s">
        <v>250</v>
      </c>
      <c r="H266" s="13" t="s">
        <v>20</v>
      </c>
      <c r="I266" s="13">
        <v>4.45</v>
      </c>
      <c r="J266" s="13">
        <f t="shared" si="43"/>
        <v>2</v>
      </c>
      <c r="K266" s="13">
        <v>5</v>
      </c>
      <c r="L266" s="13">
        <f t="shared" si="44"/>
        <v>2</v>
      </c>
      <c r="M266" s="14">
        <v>7.6388888888888886E-3</v>
      </c>
      <c r="N266" s="13">
        <v>2</v>
      </c>
      <c r="O266" s="13" t="str">
        <f>IF(AVERAGE(J266,L266)=N266,"COINCIDE",IF(L266=N266,"INCONGRUENTE","DISTINTO"))</f>
        <v>COINCIDE</v>
      </c>
      <c r="P266" s="13" t="s">
        <v>250</v>
      </c>
      <c r="Q266" s="13" t="s">
        <v>22</v>
      </c>
      <c r="R266" s="13" t="s">
        <v>23</v>
      </c>
      <c r="S266" s="6"/>
      <c r="T266" s="6"/>
      <c r="U266" s="6"/>
      <c r="V266" s="6"/>
      <c r="W266" s="6"/>
      <c r="X266" s="6"/>
      <c r="Y266" s="6"/>
    </row>
    <row r="267" spans="1:25" ht="15.75" customHeight="1">
      <c r="A267" s="11" t="s">
        <v>18</v>
      </c>
      <c r="B267" s="11">
        <v>700036900</v>
      </c>
      <c r="C267" s="11">
        <v>7000256</v>
      </c>
      <c r="D267" s="11">
        <v>5406</v>
      </c>
      <c r="E267" s="11">
        <v>-68.587996000000004</v>
      </c>
      <c r="F267" s="11">
        <v>-31.570766200000001</v>
      </c>
      <c r="G267" s="11" t="s">
        <v>250</v>
      </c>
      <c r="H267" s="11" t="s">
        <v>20</v>
      </c>
      <c r="I267" s="11">
        <v>7.05</v>
      </c>
      <c r="J267" s="11">
        <f t="shared" si="43"/>
        <v>2</v>
      </c>
      <c r="K267" s="11">
        <v>9</v>
      </c>
      <c r="L267" s="11">
        <f t="shared" si="44"/>
        <v>2</v>
      </c>
      <c r="M267" s="12">
        <v>1.3194444444444444E-2</v>
      </c>
      <c r="N267" s="11">
        <v>3</v>
      </c>
      <c r="O267" s="11" t="str">
        <f t="shared" ref="O267:O268" si="49">IF(AVERAGE(J267,L267)=N267,"COINCIDE",IF(L267=N267,"INCONGRUENTE",IF(N267=7,"COINCIDE","DISTINTO")))</f>
        <v>DISTINTO</v>
      </c>
      <c r="P267" s="11" t="s">
        <v>250</v>
      </c>
      <c r="Q267" s="11" t="s">
        <v>22</v>
      </c>
      <c r="R267" s="11" t="s">
        <v>23</v>
      </c>
      <c r="S267" s="6"/>
      <c r="T267" s="6"/>
      <c r="U267" s="6"/>
      <c r="V267" s="6"/>
      <c r="W267" s="6"/>
      <c r="X267" s="6"/>
      <c r="Y267" s="6"/>
    </row>
    <row r="268" spans="1:25" ht="15.75" customHeight="1">
      <c r="A268" s="11" t="s">
        <v>18</v>
      </c>
      <c r="B268" s="11">
        <v>700030100</v>
      </c>
      <c r="C268" s="11">
        <v>7000257</v>
      </c>
      <c r="D268" s="11">
        <v>5406</v>
      </c>
      <c r="E268" s="11">
        <v>-68.520209399999999</v>
      </c>
      <c r="F268" s="11">
        <v>-31.563825900000001</v>
      </c>
      <c r="G268" s="11" t="s">
        <v>251</v>
      </c>
      <c r="H268" s="11" t="s">
        <v>20</v>
      </c>
      <c r="I268" s="11">
        <v>3</v>
      </c>
      <c r="J268" s="11">
        <f t="shared" si="43"/>
        <v>1</v>
      </c>
      <c r="K268" s="11">
        <v>3</v>
      </c>
      <c r="L268" s="11">
        <f t="shared" si="44"/>
        <v>1</v>
      </c>
      <c r="M268" s="12">
        <v>6.9444444444444441E-3</v>
      </c>
      <c r="N268" s="11">
        <v>2</v>
      </c>
      <c r="O268" s="11" t="str">
        <f t="shared" si="49"/>
        <v>DISTINTO</v>
      </c>
      <c r="P268" s="11" t="s">
        <v>250</v>
      </c>
      <c r="Q268" s="11" t="s">
        <v>22</v>
      </c>
      <c r="R268" s="11" t="s">
        <v>23</v>
      </c>
      <c r="S268" s="6"/>
      <c r="T268" s="6"/>
      <c r="U268" s="6"/>
      <c r="V268" s="6"/>
      <c r="W268" s="6"/>
      <c r="X268" s="6"/>
      <c r="Y268" s="6"/>
    </row>
    <row r="269" spans="1:25" ht="15.75" customHeight="1">
      <c r="A269" s="13" t="s">
        <v>18</v>
      </c>
      <c r="B269" s="13">
        <v>700005400</v>
      </c>
      <c r="C269" s="13">
        <v>7000258</v>
      </c>
      <c r="D269" s="13">
        <v>5406</v>
      </c>
      <c r="E269" s="13">
        <v>-68.562542100000002</v>
      </c>
      <c r="F269" s="13">
        <v>-31.563012499999999</v>
      </c>
      <c r="G269" s="13" t="s">
        <v>252</v>
      </c>
      <c r="H269" s="13" t="s">
        <v>20</v>
      </c>
      <c r="I269" s="13">
        <v>4.58</v>
      </c>
      <c r="J269" s="13">
        <f t="shared" si="43"/>
        <v>2</v>
      </c>
      <c r="K269" s="13">
        <v>6</v>
      </c>
      <c r="L269" s="13">
        <f t="shared" si="44"/>
        <v>2</v>
      </c>
      <c r="M269" s="14">
        <v>1.0416666666666666E-2</v>
      </c>
      <c r="N269" s="13">
        <v>2</v>
      </c>
      <c r="O269" s="13" t="str">
        <f>IF(AVERAGE(J269,L269)=N269,"COINCIDE",IF(L269=N269,"INCONGRUENTE","DISTINTO"))</f>
        <v>COINCIDE</v>
      </c>
      <c r="P269" s="13" t="s">
        <v>250</v>
      </c>
      <c r="Q269" s="13" t="s">
        <v>22</v>
      </c>
      <c r="R269" s="13" t="s">
        <v>23</v>
      </c>
      <c r="S269" s="6"/>
      <c r="T269" s="6"/>
      <c r="U269" s="6"/>
      <c r="V269" s="6"/>
      <c r="W269" s="6"/>
      <c r="X269" s="6"/>
      <c r="Y269" s="6"/>
    </row>
    <row r="270" spans="1:25" ht="15.75" customHeight="1">
      <c r="A270" s="11" t="s">
        <v>18</v>
      </c>
      <c r="B270" s="11">
        <v>700002100</v>
      </c>
      <c r="C270" s="11">
        <v>7000259</v>
      </c>
      <c r="D270" s="11">
        <v>5406</v>
      </c>
      <c r="E270" s="11">
        <v>-68.526933499999998</v>
      </c>
      <c r="F270" s="11">
        <v>-31.5729316</v>
      </c>
      <c r="G270" s="11" t="s">
        <v>253</v>
      </c>
      <c r="H270" s="11" t="s">
        <v>20</v>
      </c>
      <c r="I270" s="11">
        <v>4</v>
      </c>
      <c r="J270" s="11">
        <f t="shared" si="43"/>
        <v>1</v>
      </c>
      <c r="K270" s="11">
        <v>4</v>
      </c>
      <c r="L270" s="11">
        <f t="shared" si="44"/>
        <v>1</v>
      </c>
      <c r="M270" s="12">
        <v>8.3333333333333332E-3</v>
      </c>
      <c r="N270" s="11">
        <v>2</v>
      </c>
      <c r="O270" s="11" t="str">
        <f>IF(AVERAGE(J270,L270)=N270,"COINCIDE",IF(L270=N270,"INCONGRUENTE",IF(N270=7,"COINCIDE","DISTINTO")))</f>
        <v>DISTINTO</v>
      </c>
      <c r="P270" s="11" t="s">
        <v>250</v>
      </c>
      <c r="Q270" s="11" t="s">
        <v>22</v>
      </c>
      <c r="R270" s="11" t="s">
        <v>23</v>
      </c>
      <c r="S270" s="6"/>
      <c r="T270" s="6"/>
      <c r="U270" s="6"/>
      <c r="V270" s="6"/>
      <c r="W270" s="6"/>
      <c r="X270" s="6"/>
      <c r="Y270" s="6"/>
    </row>
    <row r="271" spans="1:25" ht="15.75" customHeight="1">
      <c r="A271" s="13" t="s">
        <v>18</v>
      </c>
      <c r="B271" s="13">
        <v>700004700</v>
      </c>
      <c r="C271" s="13">
        <v>7000260</v>
      </c>
      <c r="D271" s="13">
        <v>5406</v>
      </c>
      <c r="E271" s="13">
        <v>-68.537265000000005</v>
      </c>
      <c r="F271" s="13">
        <v>-31.573901299999999</v>
      </c>
      <c r="G271" s="13" t="s">
        <v>250</v>
      </c>
      <c r="H271" s="13" t="s">
        <v>20</v>
      </c>
      <c r="I271" s="13">
        <v>4.26</v>
      </c>
      <c r="J271" s="13">
        <f t="shared" si="43"/>
        <v>2</v>
      </c>
      <c r="K271" s="13">
        <v>5</v>
      </c>
      <c r="L271" s="13">
        <f t="shared" si="44"/>
        <v>2</v>
      </c>
      <c r="M271" s="14">
        <v>9.0277777777777787E-3</v>
      </c>
      <c r="N271" s="13">
        <v>2</v>
      </c>
      <c r="O271" s="13" t="str">
        <f t="shared" ref="O271:O272" si="50">IF(AVERAGE(J271,L271)=N271,"COINCIDE",IF(L271=N271,"INCONGRUENTE","DISTINTO"))</f>
        <v>COINCIDE</v>
      </c>
      <c r="P271" s="13" t="s">
        <v>250</v>
      </c>
      <c r="Q271" s="13" t="s">
        <v>22</v>
      </c>
      <c r="R271" s="13" t="s">
        <v>23</v>
      </c>
      <c r="S271" s="6"/>
      <c r="T271" s="6"/>
      <c r="U271" s="6"/>
      <c r="V271" s="6"/>
      <c r="W271" s="6"/>
      <c r="X271" s="6"/>
      <c r="Y271" s="6"/>
    </row>
    <row r="272" spans="1:25" ht="15.75" customHeight="1">
      <c r="A272" s="13" t="s">
        <v>62</v>
      </c>
      <c r="B272" s="13">
        <v>700032200</v>
      </c>
      <c r="C272" s="13">
        <v>7000261</v>
      </c>
      <c r="D272" s="13">
        <v>5406</v>
      </c>
      <c r="E272" s="13">
        <v>-68.538253299999994</v>
      </c>
      <c r="F272" s="13">
        <v>-31.574173200000001</v>
      </c>
      <c r="G272" s="13" t="s">
        <v>250</v>
      </c>
      <c r="H272" s="13" t="s">
        <v>20</v>
      </c>
      <c r="I272" s="13">
        <v>4.32</v>
      </c>
      <c r="J272" s="13">
        <f t="shared" si="43"/>
        <v>2</v>
      </c>
      <c r="K272" s="13">
        <v>5</v>
      </c>
      <c r="L272" s="13">
        <f t="shared" si="44"/>
        <v>2</v>
      </c>
      <c r="M272" s="14">
        <v>9.0277777777777787E-3</v>
      </c>
      <c r="N272" s="13">
        <v>2</v>
      </c>
      <c r="O272" s="13" t="str">
        <f t="shared" si="50"/>
        <v>COINCIDE</v>
      </c>
      <c r="P272" s="13" t="s">
        <v>250</v>
      </c>
      <c r="Q272" s="13" t="s">
        <v>22</v>
      </c>
      <c r="R272" s="13" t="s">
        <v>23</v>
      </c>
      <c r="S272" s="6"/>
      <c r="T272" s="6"/>
      <c r="U272" s="6"/>
      <c r="V272" s="6"/>
      <c r="W272" s="6"/>
      <c r="X272" s="6"/>
      <c r="Y272" s="6"/>
    </row>
    <row r="273" spans="1:25" ht="15.75" customHeight="1">
      <c r="A273" s="11" t="s">
        <v>18</v>
      </c>
      <c r="B273" s="11">
        <v>700006500</v>
      </c>
      <c r="C273" s="11">
        <v>7000263</v>
      </c>
      <c r="D273" s="11">
        <v>5406</v>
      </c>
      <c r="E273" s="11">
        <v>-68.560116699999995</v>
      </c>
      <c r="F273" s="11">
        <v>-31.582341799999998</v>
      </c>
      <c r="G273" s="11" t="s">
        <v>254</v>
      </c>
      <c r="H273" s="11" t="s">
        <v>20</v>
      </c>
      <c r="I273" s="11">
        <v>6.04</v>
      </c>
      <c r="J273" s="11">
        <f t="shared" si="43"/>
        <v>2</v>
      </c>
      <c r="K273" s="11">
        <v>7</v>
      </c>
      <c r="L273" s="11">
        <f t="shared" si="44"/>
        <v>2</v>
      </c>
      <c r="M273" s="12">
        <v>1.1111111111111112E-2</v>
      </c>
      <c r="N273" s="11">
        <v>3</v>
      </c>
      <c r="O273" s="11" t="str">
        <f>IF(AVERAGE(J273,L273)=N273,"COINCIDE",IF(L273=N273,"INCONGRUENTE",IF(N273=7,"COINCIDE","DISTINTO")))</f>
        <v>DISTINTO</v>
      </c>
      <c r="P273" s="11" t="s">
        <v>250</v>
      </c>
      <c r="Q273" s="11" t="s">
        <v>22</v>
      </c>
      <c r="R273" s="11" t="s">
        <v>23</v>
      </c>
      <c r="S273" s="6"/>
      <c r="T273" s="6"/>
      <c r="U273" s="6"/>
      <c r="V273" s="6"/>
      <c r="W273" s="6"/>
      <c r="X273" s="6"/>
      <c r="Y273" s="6"/>
    </row>
    <row r="274" spans="1:25" ht="15.75" customHeight="1">
      <c r="A274" s="13" t="s">
        <v>18</v>
      </c>
      <c r="B274" s="13">
        <v>700005400</v>
      </c>
      <c r="C274" s="13">
        <v>7000265</v>
      </c>
      <c r="D274" s="13">
        <v>5406</v>
      </c>
      <c r="E274" s="13">
        <v>-68.562070899999995</v>
      </c>
      <c r="F274" s="13">
        <v>-31.562255100000002</v>
      </c>
      <c r="G274" s="13" t="s">
        <v>81</v>
      </c>
      <c r="H274" s="13" t="s">
        <v>20</v>
      </c>
      <c r="I274" s="13">
        <v>4.49</v>
      </c>
      <c r="J274" s="13">
        <f t="shared" si="43"/>
        <v>2</v>
      </c>
      <c r="K274" s="13">
        <v>7</v>
      </c>
      <c r="L274" s="13">
        <f t="shared" si="44"/>
        <v>2</v>
      </c>
      <c r="M274" s="14">
        <v>1.0416666666666666E-2</v>
      </c>
      <c r="N274" s="13">
        <v>2</v>
      </c>
      <c r="O274" s="13" t="str">
        <f t="shared" ref="O274:O275" si="51">IF(AVERAGE(J274,L274)=N274,"COINCIDE",IF(L274=N274,"INCONGRUENTE","DISTINTO"))</f>
        <v>COINCIDE</v>
      </c>
      <c r="P274" s="13" t="s">
        <v>250</v>
      </c>
      <c r="Q274" s="13" t="s">
        <v>22</v>
      </c>
      <c r="R274" s="13" t="s">
        <v>23</v>
      </c>
      <c r="S274" s="6"/>
      <c r="T274" s="6"/>
      <c r="U274" s="6"/>
      <c r="V274" s="6"/>
      <c r="W274" s="6"/>
      <c r="X274" s="6"/>
      <c r="Y274" s="6"/>
    </row>
    <row r="275" spans="1:25" ht="15.75" customHeight="1">
      <c r="A275" s="13" t="s">
        <v>18</v>
      </c>
      <c r="B275" s="13">
        <v>700037500</v>
      </c>
      <c r="C275" s="13">
        <v>7000267</v>
      </c>
      <c r="D275" s="13">
        <v>5406</v>
      </c>
      <c r="E275" s="13">
        <v>-68.561345599999996</v>
      </c>
      <c r="F275" s="13">
        <v>-31.5667504</v>
      </c>
      <c r="G275" s="13" t="s">
        <v>255</v>
      </c>
      <c r="H275" s="13" t="s">
        <v>20</v>
      </c>
      <c r="I275" s="13">
        <v>4.78</v>
      </c>
      <c r="J275" s="13">
        <f t="shared" si="43"/>
        <v>2</v>
      </c>
      <c r="K275" s="13">
        <v>7</v>
      </c>
      <c r="L275" s="13">
        <f t="shared" si="44"/>
        <v>2</v>
      </c>
      <c r="M275" s="14">
        <v>1.0416666666666666E-2</v>
      </c>
      <c r="N275" s="13">
        <v>2</v>
      </c>
      <c r="O275" s="13" t="str">
        <f t="shared" si="51"/>
        <v>COINCIDE</v>
      </c>
      <c r="P275" s="13" t="s">
        <v>250</v>
      </c>
      <c r="Q275" s="13" t="s">
        <v>22</v>
      </c>
      <c r="R275" s="13" t="s">
        <v>23</v>
      </c>
      <c r="S275" s="6"/>
      <c r="T275" s="6"/>
      <c r="U275" s="6"/>
      <c r="V275" s="6"/>
      <c r="W275" s="6"/>
      <c r="X275" s="6"/>
      <c r="Y275" s="6"/>
    </row>
    <row r="276" spans="1:25" ht="15.75" customHeight="1">
      <c r="A276" s="11" t="s">
        <v>18</v>
      </c>
      <c r="B276" s="11">
        <v>700030200</v>
      </c>
      <c r="C276" s="11">
        <v>7000268</v>
      </c>
      <c r="D276" s="11">
        <v>5406</v>
      </c>
      <c r="E276" s="11">
        <v>-68.537969399999994</v>
      </c>
      <c r="F276" s="11">
        <v>-31.563450100000001</v>
      </c>
      <c r="G276" s="11" t="s">
        <v>256</v>
      </c>
      <c r="H276" s="11" t="s">
        <v>20</v>
      </c>
      <c r="I276" s="11">
        <v>3.18</v>
      </c>
      <c r="J276" s="11">
        <f t="shared" si="43"/>
        <v>1</v>
      </c>
      <c r="K276" s="11">
        <v>4</v>
      </c>
      <c r="L276" s="11">
        <f t="shared" si="44"/>
        <v>1</v>
      </c>
      <c r="M276" s="12">
        <v>6.9444444444444441E-3</v>
      </c>
      <c r="N276" s="11">
        <v>2</v>
      </c>
      <c r="O276" s="11" t="str">
        <f>IF(AVERAGE(J276,L276)=N276,"COINCIDE",IF(L276=N276,"INCONGRUENTE",IF(N276=7,"COINCIDE","DISTINTO")))</f>
        <v>DISTINTO</v>
      </c>
      <c r="P276" s="11" t="s">
        <v>250</v>
      </c>
      <c r="Q276" s="11" t="s">
        <v>22</v>
      </c>
      <c r="R276" s="11" t="s">
        <v>23</v>
      </c>
      <c r="S276" s="6"/>
      <c r="T276" s="6"/>
      <c r="U276" s="6"/>
      <c r="V276" s="6"/>
      <c r="W276" s="6"/>
      <c r="X276" s="6"/>
      <c r="Y276" s="6"/>
    </row>
    <row r="277" spans="1:25" ht="15.75" customHeight="1">
      <c r="A277" s="13" t="s">
        <v>18</v>
      </c>
      <c r="B277" s="13">
        <v>700030300</v>
      </c>
      <c r="C277" s="13">
        <v>7000269</v>
      </c>
      <c r="D277" s="13">
        <v>5406</v>
      </c>
      <c r="E277" s="13">
        <v>-68.532332999999994</v>
      </c>
      <c r="F277" s="13">
        <v>-31.583841</v>
      </c>
      <c r="G277" s="13" t="s">
        <v>257</v>
      </c>
      <c r="H277" s="13" t="s">
        <v>20</v>
      </c>
      <c r="I277" s="13">
        <v>5.26</v>
      </c>
      <c r="J277" s="13">
        <f t="shared" si="43"/>
        <v>2</v>
      </c>
      <c r="K277" s="13">
        <v>7</v>
      </c>
      <c r="L277" s="13">
        <f t="shared" si="44"/>
        <v>2</v>
      </c>
      <c r="M277" s="14">
        <v>8.3333333333333332E-3</v>
      </c>
      <c r="N277" s="13">
        <v>2</v>
      </c>
      <c r="O277" s="13" t="str">
        <f t="shared" ref="O277:O278" si="52">IF(AVERAGE(J277,L277)=N277,"COINCIDE",IF(L277=N277,"INCONGRUENTE","DISTINTO"))</f>
        <v>COINCIDE</v>
      </c>
      <c r="P277" s="13" t="s">
        <v>250</v>
      </c>
      <c r="Q277" s="13" t="s">
        <v>22</v>
      </c>
      <c r="R277" s="13" t="s">
        <v>258</v>
      </c>
      <c r="S277" s="6"/>
      <c r="T277" s="6"/>
      <c r="U277" s="6"/>
      <c r="V277" s="6"/>
      <c r="W277" s="6"/>
      <c r="X277" s="6"/>
      <c r="Y277" s="6"/>
    </row>
    <row r="278" spans="1:25" ht="15.75" customHeight="1">
      <c r="A278" s="7" t="s">
        <v>18</v>
      </c>
      <c r="B278" s="7">
        <v>700046400</v>
      </c>
      <c r="C278" s="7">
        <v>7000272</v>
      </c>
      <c r="D278" s="7">
        <v>5406</v>
      </c>
      <c r="E278" s="7">
        <v>-68.502410699999999</v>
      </c>
      <c r="F278" s="7">
        <v>-31.619063000000001</v>
      </c>
      <c r="G278" s="7" t="s">
        <v>233</v>
      </c>
      <c r="H278" s="7" t="s">
        <v>20</v>
      </c>
      <c r="I278" s="7">
        <v>9.36</v>
      </c>
      <c r="J278" s="35">
        <f t="shared" si="43"/>
        <v>2</v>
      </c>
      <c r="K278" s="7">
        <v>12</v>
      </c>
      <c r="L278" s="35">
        <f t="shared" si="44"/>
        <v>3</v>
      </c>
      <c r="M278" s="9">
        <v>1.1111111111111112E-2</v>
      </c>
      <c r="N278" s="7">
        <v>3</v>
      </c>
      <c r="O278" s="35" t="str">
        <f t="shared" si="52"/>
        <v>INCONGRUENTE</v>
      </c>
      <c r="P278" s="7" t="s">
        <v>250</v>
      </c>
      <c r="Q278" s="7" t="s">
        <v>22</v>
      </c>
      <c r="R278" s="7" t="s">
        <v>23</v>
      </c>
      <c r="S278" s="6"/>
      <c r="T278" s="6"/>
      <c r="U278" s="6"/>
      <c r="V278" s="6"/>
      <c r="W278" s="6"/>
      <c r="X278" s="6"/>
      <c r="Y278" s="6"/>
    </row>
    <row r="279" spans="1:25" ht="15.75" customHeight="1">
      <c r="A279" s="11" t="s">
        <v>18</v>
      </c>
      <c r="B279" s="11">
        <v>700012000</v>
      </c>
      <c r="C279" s="11">
        <v>7000273</v>
      </c>
      <c r="D279" s="11">
        <v>5406</v>
      </c>
      <c r="E279" s="11">
        <v>-68.509398599999997</v>
      </c>
      <c r="F279" s="11">
        <v>-31.561623000000001</v>
      </c>
      <c r="G279" s="11" t="s">
        <v>259</v>
      </c>
      <c r="H279" s="11" t="s">
        <v>20</v>
      </c>
      <c r="I279" s="11">
        <v>3.12</v>
      </c>
      <c r="J279" s="11">
        <f t="shared" si="43"/>
        <v>1</v>
      </c>
      <c r="K279" s="11">
        <v>4</v>
      </c>
      <c r="L279" s="11">
        <f t="shared" si="44"/>
        <v>1</v>
      </c>
      <c r="M279" s="12">
        <v>6.2499999999999995E-3</v>
      </c>
      <c r="N279" s="11">
        <v>2</v>
      </c>
      <c r="O279" s="11" t="str">
        <f t="shared" ref="O279:O282" si="53">IF(AVERAGE(J279,L279)=N279,"COINCIDE",IF(L279=N279,"INCONGRUENTE",IF(N279=7,"COINCIDE","DISTINTO")))</f>
        <v>DISTINTO</v>
      </c>
      <c r="P279" s="11" t="s">
        <v>250</v>
      </c>
      <c r="Q279" s="11" t="s">
        <v>22</v>
      </c>
      <c r="R279" s="11" t="s">
        <v>23</v>
      </c>
      <c r="S279" s="6"/>
      <c r="T279" s="6"/>
      <c r="U279" s="6"/>
      <c r="V279" s="6"/>
      <c r="W279" s="6"/>
      <c r="X279" s="6"/>
      <c r="Y279" s="6"/>
    </row>
    <row r="280" spans="1:25" ht="15.75" customHeight="1">
      <c r="A280" s="11" t="s">
        <v>18</v>
      </c>
      <c r="B280" s="11">
        <v>700046700</v>
      </c>
      <c r="C280" s="11">
        <v>7000274</v>
      </c>
      <c r="D280" s="11">
        <v>5406</v>
      </c>
      <c r="E280" s="11">
        <v>-68.481519899999995</v>
      </c>
      <c r="F280" s="11">
        <v>-31.577332899999998</v>
      </c>
      <c r="G280" s="11" t="s">
        <v>260</v>
      </c>
      <c r="H280" s="11" t="s">
        <v>20</v>
      </c>
      <c r="I280" s="11">
        <v>6.1</v>
      </c>
      <c r="J280" s="11">
        <f t="shared" si="43"/>
        <v>2</v>
      </c>
      <c r="K280" s="11">
        <v>8</v>
      </c>
      <c r="L280" s="11">
        <f t="shared" si="44"/>
        <v>2</v>
      </c>
      <c r="M280" s="12">
        <v>1.0416666666666666E-2</v>
      </c>
      <c r="N280" s="11">
        <v>3</v>
      </c>
      <c r="O280" s="11" t="str">
        <f t="shared" si="53"/>
        <v>DISTINTO</v>
      </c>
      <c r="P280" s="11" t="s">
        <v>250</v>
      </c>
      <c r="Q280" s="11" t="s">
        <v>22</v>
      </c>
      <c r="R280" s="11" t="s">
        <v>23</v>
      </c>
      <c r="S280" s="6"/>
      <c r="T280" s="6"/>
      <c r="U280" s="6"/>
      <c r="V280" s="6"/>
      <c r="W280" s="6"/>
      <c r="X280" s="6"/>
      <c r="Y280" s="6"/>
    </row>
    <row r="281" spans="1:25" ht="15.75" customHeight="1">
      <c r="A281" s="11" t="s">
        <v>18</v>
      </c>
      <c r="B281" s="11">
        <v>700046900</v>
      </c>
      <c r="C281" s="11">
        <v>7000275</v>
      </c>
      <c r="D281" s="11">
        <v>5406</v>
      </c>
      <c r="E281" s="11">
        <v>-68.465297699999994</v>
      </c>
      <c r="F281" s="11">
        <v>-31.657265200000001</v>
      </c>
      <c r="G281" s="11" t="s">
        <v>261</v>
      </c>
      <c r="H281" s="11" t="s">
        <v>20</v>
      </c>
      <c r="I281" s="11">
        <v>14.5</v>
      </c>
      <c r="J281" s="11">
        <f t="shared" si="43"/>
        <v>3</v>
      </c>
      <c r="K281" s="11">
        <v>18</v>
      </c>
      <c r="L281" s="11">
        <f t="shared" si="44"/>
        <v>3</v>
      </c>
      <c r="M281" s="12">
        <v>1.9444444444444445E-2</v>
      </c>
      <c r="N281" s="11">
        <v>4</v>
      </c>
      <c r="O281" s="11" t="str">
        <f t="shared" si="53"/>
        <v>DISTINTO</v>
      </c>
      <c r="P281" s="11" t="s">
        <v>250</v>
      </c>
      <c r="Q281" s="11" t="s">
        <v>22</v>
      </c>
      <c r="R281" s="11" t="s">
        <v>23</v>
      </c>
      <c r="S281" s="6"/>
      <c r="T281" s="6"/>
      <c r="U281" s="6"/>
      <c r="V281" s="6"/>
      <c r="W281" s="6"/>
      <c r="X281" s="6"/>
      <c r="Y281" s="6"/>
    </row>
    <row r="282" spans="1:25" ht="15.75" customHeight="1">
      <c r="A282" s="11" t="s">
        <v>18</v>
      </c>
      <c r="B282" s="11">
        <v>700047300</v>
      </c>
      <c r="C282" s="11">
        <v>7000276</v>
      </c>
      <c r="D282" s="11">
        <v>5406</v>
      </c>
      <c r="E282" s="11">
        <v>-68.501280100000002</v>
      </c>
      <c r="F282" s="11">
        <v>-31.6492501</v>
      </c>
      <c r="G282" s="11" t="s">
        <v>261</v>
      </c>
      <c r="H282" s="11" t="s">
        <v>20</v>
      </c>
      <c r="I282" s="11">
        <v>12.7</v>
      </c>
      <c r="J282" s="11">
        <f t="shared" si="43"/>
        <v>3</v>
      </c>
      <c r="K282" s="11">
        <v>16</v>
      </c>
      <c r="L282" s="11">
        <f t="shared" si="44"/>
        <v>3</v>
      </c>
      <c r="M282" s="12">
        <v>1.3888888888888888E-2</v>
      </c>
      <c r="N282" s="11">
        <v>4</v>
      </c>
      <c r="O282" s="11" t="str">
        <f t="shared" si="53"/>
        <v>DISTINTO</v>
      </c>
      <c r="P282" s="11" t="s">
        <v>250</v>
      </c>
      <c r="Q282" s="11" t="s">
        <v>22</v>
      </c>
      <c r="R282" s="11" t="s">
        <v>23</v>
      </c>
      <c r="S282" s="6"/>
      <c r="T282" s="6"/>
      <c r="U282" s="6"/>
      <c r="V282" s="6"/>
      <c r="W282" s="6"/>
      <c r="X282" s="6"/>
      <c r="Y282" s="6"/>
    </row>
    <row r="283" spans="1:25" ht="15.75" customHeight="1">
      <c r="A283" s="13" t="s">
        <v>18</v>
      </c>
      <c r="B283" s="13">
        <v>700012200</v>
      </c>
      <c r="C283" s="13">
        <v>7000277</v>
      </c>
      <c r="D283" s="13">
        <v>5406</v>
      </c>
      <c r="E283" s="13">
        <v>-68.481383100000002</v>
      </c>
      <c r="F283" s="13">
        <v>-31.6284928</v>
      </c>
      <c r="G283" s="13" t="s">
        <v>262</v>
      </c>
      <c r="H283" s="13" t="s">
        <v>20</v>
      </c>
      <c r="I283" s="13">
        <v>11</v>
      </c>
      <c r="J283" s="13">
        <f t="shared" si="43"/>
        <v>3</v>
      </c>
      <c r="K283" s="13">
        <v>13</v>
      </c>
      <c r="L283" s="13">
        <f t="shared" si="44"/>
        <v>3</v>
      </c>
      <c r="M283" s="14">
        <v>1.3888888888888888E-2</v>
      </c>
      <c r="N283" s="13">
        <v>3</v>
      </c>
      <c r="O283" s="13" t="str">
        <f t="shared" ref="O283:O285" si="54">IF(AVERAGE(J283,L283)=N283,"COINCIDE",IF(L283=N283,"INCONGRUENTE","DISTINTO"))</f>
        <v>COINCIDE</v>
      </c>
      <c r="P283" s="13" t="s">
        <v>250</v>
      </c>
      <c r="Q283" s="13" t="s">
        <v>22</v>
      </c>
      <c r="R283" s="13" t="s">
        <v>23</v>
      </c>
      <c r="S283" s="6"/>
      <c r="T283" s="6"/>
      <c r="U283" s="6"/>
      <c r="V283" s="6"/>
      <c r="W283" s="6"/>
      <c r="X283" s="6"/>
      <c r="Y283" s="6"/>
    </row>
    <row r="284" spans="1:25" ht="15.75" customHeight="1">
      <c r="A284" s="7" t="s">
        <v>18</v>
      </c>
      <c r="B284" s="7">
        <v>700012100</v>
      </c>
      <c r="C284" s="7">
        <v>7000278</v>
      </c>
      <c r="D284" s="7">
        <v>5406</v>
      </c>
      <c r="E284" s="7">
        <v>-68.485094099999998</v>
      </c>
      <c r="F284" s="7">
        <v>-31.7066333</v>
      </c>
      <c r="G284" s="7" t="s">
        <v>261</v>
      </c>
      <c r="H284" s="7" t="s">
        <v>20</v>
      </c>
      <c r="I284" s="7">
        <v>19.100000000000001</v>
      </c>
      <c r="J284" s="35">
        <f t="shared" si="43"/>
        <v>3</v>
      </c>
      <c r="K284" s="7">
        <v>24</v>
      </c>
      <c r="L284" s="35">
        <f t="shared" si="44"/>
        <v>4</v>
      </c>
      <c r="M284" s="9">
        <v>1.8749999999999999E-2</v>
      </c>
      <c r="N284" s="7">
        <v>4</v>
      </c>
      <c r="O284" s="35" t="str">
        <f t="shared" si="54"/>
        <v>INCONGRUENTE</v>
      </c>
      <c r="P284" s="7" t="s">
        <v>250</v>
      </c>
      <c r="Q284" s="7" t="s">
        <v>22</v>
      </c>
      <c r="R284" s="7" t="s">
        <v>23</v>
      </c>
      <c r="S284" s="6"/>
      <c r="T284" s="6"/>
      <c r="U284" s="6"/>
      <c r="V284" s="6"/>
      <c r="W284" s="6"/>
      <c r="X284" s="6"/>
      <c r="Y284" s="6"/>
    </row>
    <row r="285" spans="1:25" ht="15.75" customHeight="1">
      <c r="A285" s="7" t="s">
        <v>18</v>
      </c>
      <c r="B285" s="7">
        <v>700046800</v>
      </c>
      <c r="C285" s="7">
        <v>7000279</v>
      </c>
      <c r="D285" s="7">
        <v>5406</v>
      </c>
      <c r="E285" s="7">
        <v>-68.481107899999998</v>
      </c>
      <c r="F285" s="7">
        <v>-31.6843705</v>
      </c>
      <c r="G285" s="7" t="s">
        <v>261</v>
      </c>
      <c r="H285" s="7" t="s">
        <v>20</v>
      </c>
      <c r="I285" s="7">
        <v>16.899999999999999</v>
      </c>
      <c r="J285" s="35">
        <f t="shared" si="43"/>
        <v>3</v>
      </c>
      <c r="K285" s="7">
        <v>21</v>
      </c>
      <c r="L285" s="35">
        <f t="shared" si="44"/>
        <v>4</v>
      </c>
      <c r="M285" s="9">
        <v>1.6666666666666666E-2</v>
      </c>
      <c r="N285" s="7">
        <v>4</v>
      </c>
      <c r="O285" s="35" t="str">
        <f t="shared" si="54"/>
        <v>INCONGRUENTE</v>
      </c>
      <c r="P285" s="7" t="s">
        <v>250</v>
      </c>
      <c r="Q285" s="7" t="s">
        <v>22</v>
      </c>
      <c r="R285" s="7" t="s">
        <v>23</v>
      </c>
      <c r="S285" s="6"/>
      <c r="T285" s="6"/>
      <c r="U285" s="6"/>
      <c r="V285" s="6"/>
      <c r="W285" s="6"/>
      <c r="X285" s="6"/>
      <c r="Y285" s="6"/>
    </row>
    <row r="286" spans="1:25" ht="15.75" customHeight="1">
      <c r="A286" s="11" t="s">
        <v>18</v>
      </c>
      <c r="B286" s="11">
        <v>700046600</v>
      </c>
      <c r="C286" s="11">
        <v>7000280</v>
      </c>
      <c r="D286" s="11">
        <v>5406</v>
      </c>
      <c r="E286" s="11">
        <v>-68.466147699999993</v>
      </c>
      <c r="F286" s="11">
        <v>-31.601780099999999</v>
      </c>
      <c r="G286" s="11" t="s">
        <v>261</v>
      </c>
      <c r="H286" s="11" t="s">
        <v>20</v>
      </c>
      <c r="I286" s="11">
        <v>9.11</v>
      </c>
      <c r="J286" s="11">
        <f t="shared" si="43"/>
        <v>2</v>
      </c>
      <c r="K286" s="11">
        <v>10</v>
      </c>
      <c r="L286" s="11">
        <f t="shared" si="44"/>
        <v>2</v>
      </c>
      <c r="M286" s="12">
        <v>1.1805555555555555E-2</v>
      </c>
      <c r="N286" s="11">
        <v>3</v>
      </c>
      <c r="O286" s="11" t="str">
        <f t="shared" ref="O286:O288" si="55">IF(AVERAGE(J286,L286)=N286,"COINCIDE",IF(L286=N286,"INCONGRUENTE",IF(N286=7,"COINCIDE","DISTINTO")))</f>
        <v>DISTINTO</v>
      </c>
      <c r="P286" s="11" t="s">
        <v>250</v>
      </c>
      <c r="Q286" s="11" t="s">
        <v>22</v>
      </c>
      <c r="R286" s="11" t="s">
        <v>23</v>
      </c>
      <c r="S286" s="6"/>
      <c r="T286" s="6"/>
      <c r="U286" s="6"/>
      <c r="V286" s="6"/>
      <c r="W286" s="6"/>
      <c r="X286" s="6"/>
      <c r="Y286" s="6"/>
    </row>
    <row r="287" spans="1:25" ht="15.75" customHeight="1">
      <c r="A287" s="11" t="s">
        <v>18</v>
      </c>
      <c r="B287" s="11">
        <v>700047000</v>
      </c>
      <c r="C287" s="11">
        <v>7000283</v>
      </c>
      <c r="D287" s="11">
        <v>5406</v>
      </c>
      <c r="E287" s="11">
        <v>-68.513446999999999</v>
      </c>
      <c r="F287" s="11">
        <v>-31.658331400000002</v>
      </c>
      <c r="G287" s="11" t="s">
        <v>261</v>
      </c>
      <c r="H287" s="11" t="s">
        <v>20</v>
      </c>
      <c r="I287" s="11">
        <v>13.6</v>
      </c>
      <c r="J287" s="11">
        <f t="shared" si="43"/>
        <v>3</v>
      </c>
      <c r="K287" s="11">
        <v>16</v>
      </c>
      <c r="L287" s="11">
        <f t="shared" si="44"/>
        <v>3</v>
      </c>
      <c r="M287" s="12">
        <v>1.3194444444444444E-2</v>
      </c>
      <c r="N287" s="11">
        <v>4</v>
      </c>
      <c r="O287" s="11" t="str">
        <f t="shared" si="55"/>
        <v>DISTINTO</v>
      </c>
      <c r="P287" s="11" t="s">
        <v>250</v>
      </c>
      <c r="Q287" s="11" t="s">
        <v>22</v>
      </c>
      <c r="R287" s="11" t="s">
        <v>23</v>
      </c>
      <c r="S287" s="6"/>
      <c r="T287" s="6"/>
      <c r="U287" s="6"/>
      <c r="V287" s="6"/>
      <c r="W287" s="6"/>
      <c r="X287" s="6"/>
      <c r="Y287" s="6"/>
    </row>
    <row r="288" spans="1:25" ht="15.75" customHeight="1">
      <c r="A288" s="11" t="s">
        <v>40</v>
      </c>
      <c r="B288" s="11">
        <v>700005000</v>
      </c>
      <c r="C288" s="11">
        <v>7000284</v>
      </c>
      <c r="D288" s="11">
        <v>5406</v>
      </c>
      <c r="E288" s="11">
        <v>-68.530312199999997</v>
      </c>
      <c r="F288" s="11">
        <v>-31.572283800000001</v>
      </c>
      <c r="G288" s="11" t="s">
        <v>250</v>
      </c>
      <c r="H288" s="11" t="s">
        <v>20</v>
      </c>
      <c r="I288" s="11">
        <v>3.94</v>
      </c>
      <c r="J288" s="11">
        <f t="shared" si="43"/>
        <v>1</v>
      </c>
      <c r="K288" s="11">
        <v>4</v>
      </c>
      <c r="L288" s="11">
        <f t="shared" si="44"/>
        <v>1</v>
      </c>
      <c r="M288" s="12">
        <v>7.6388888888888886E-3</v>
      </c>
      <c r="N288" s="11">
        <v>2</v>
      </c>
      <c r="O288" s="11" t="str">
        <f t="shared" si="55"/>
        <v>DISTINTO</v>
      </c>
      <c r="P288" s="11" t="s">
        <v>250</v>
      </c>
      <c r="Q288" s="11" t="s">
        <v>22</v>
      </c>
      <c r="R288" s="11" t="s">
        <v>23</v>
      </c>
      <c r="S288" s="6"/>
      <c r="T288" s="6"/>
      <c r="U288" s="6"/>
      <c r="V288" s="6"/>
      <c r="W288" s="6"/>
      <c r="X288" s="6"/>
      <c r="Y288" s="6"/>
    </row>
    <row r="289" spans="1:25" ht="15.75" customHeight="1">
      <c r="A289" s="7" t="s">
        <v>18</v>
      </c>
      <c r="B289" s="7">
        <v>700037400</v>
      </c>
      <c r="C289" s="7">
        <v>7000285</v>
      </c>
      <c r="D289" s="7">
        <v>5406</v>
      </c>
      <c r="E289" s="7">
        <v>-68.550935499999994</v>
      </c>
      <c r="F289" s="7">
        <v>-31.565018800000001</v>
      </c>
      <c r="G289" s="7" t="s">
        <v>263</v>
      </c>
      <c r="H289" s="7" t="s">
        <v>20</v>
      </c>
      <c r="I289" s="7">
        <v>3.9</v>
      </c>
      <c r="J289" s="35">
        <f t="shared" si="43"/>
        <v>1</v>
      </c>
      <c r="K289" s="7">
        <v>5</v>
      </c>
      <c r="L289" s="35">
        <f t="shared" si="44"/>
        <v>2</v>
      </c>
      <c r="M289" s="9">
        <v>1.0416666666666666E-2</v>
      </c>
      <c r="N289" s="7">
        <v>2</v>
      </c>
      <c r="O289" s="35" t="str">
        <f t="shared" ref="O289:O290" si="56">IF(AVERAGE(J289,L289)=N289,"COINCIDE",IF(L289=N289,"INCONGRUENTE","DISTINTO"))</f>
        <v>INCONGRUENTE</v>
      </c>
      <c r="P289" s="7" t="s">
        <v>250</v>
      </c>
      <c r="Q289" s="7" t="s">
        <v>22</v>
      </c>
      <c r="R289" s="7" t="s">
        <v>23</v>
      </c>
      <c r="S289" s="6"/>
      <c r="T289" s="6"/>
      <c r="U289" s="6"/>
      <c r="V289" s="6"/>
      <c r="W289" s="6"/>
      <c r="X289" s="6"/>
      <c r="Y289" s="6"/>
    </row>
    <row r="290" spans="1:25" ht="15.75" customHeight="1">
      <c r="A290" s="13" t="s">
        <v>18</v>
      </c>
      <c r="B290" s="13">
        <v>700032400</v>
      </c>
      <c r="C290" s="13">
        <v>7000286</v>
      </c>
      <c r="D290" s="13">
        <v>5406</v>
      </c>
      <c r="E290" s="13">
        <v>-68.543024599999995</v>
      </c>
      <c r="F290" s="13">
        <v>-31.585174299999998</v>
      </c>
      <c r="G290" s="13" t="s">
        <v>264</v>
      </c>
      <c r="H290" s="13" t="s">
        <v>20</v>
      </c>
      <c r="I290" s="13">
        <v>5.63</v>
      </c>
      <c r="J290" s="13">
        <f t="shared" si="43"/>
        <v>2</v>
      </c>
      <c r="K290" s="13">
        <v>9</v>
      </c>
      <c r="L290" s="13">
        <f t="shared" si="44"/>
        <v>2</v>
      </c>
      <c r="M290" s="14">
        <v>1.0416666666666666E-2</v>
      </c>
      <c r="N290" s="13">
        <v>2</v>
      </c>
      <c r="O290" s="13" t="str">
        <f t="shared" si="56"/>
        <v>COINCIDE</v>
      </c>
      <c r="P290" s="13" t="s">
        <v>250</v>
      </c>
      <c r="Q290" s="13" t="s">
        <v>22</v>
      </c>
      <c r="R290" s="13" t="s">
        <v>23</v>
      </c>
      <c r="S290" s="6"/>
      <c r="T290" s="6"/>
      <c r="U290" s="6"/>
      <c r="V290" s="6"/>
      <c r="W290" s="6"/>
      <c r="X290" s="6"/>
      <c r="Y290" s="6"/>
    </row>
    <row r="291" spans="1:25" ht="15.75" customHeight="1">
      <c r="A291" s="11" t="s">
        <v>18</v>
      </c>
      <c r="B291" s="11">
        <v>700012100</v>
      </c>
      <c r="C291" s="11">
        <v>7000289</v>
      </c>
      <c r="D291" s="11">
        <v>5406</v>
      </c>
      <c r="E291" s="11">
        <v>-68.516519500000001</v>
      </c>
      <c r="F291" s="11">
        <v>-31.5957644</v>
      </c>
      <c r="G291" s="11" t="s">
        <v>250</v>
      </c>
      <c r="H291" s="11" t="s">
        <v>20</v>
      </c>
      <c r="I291" s="11">
        <v>6.59</v>
      </c>
      <c r="J291" s="11">
        <f t="shared" si="43"/>
        <v>2</v>
      </c>
      <c r="K291" s="11">
        <v>8</v>
      </c>
      <c r="L291" s="11">
        <f t="shared" si="44"/>
        <v>2</v>
      </c>
      <c r="M291" s="12">
        <v>9.0277777777777787E-3</v>
      </c>
      <c r="N291" s="11">
        <v>3</v>
      </c>
      <c r="O291" s="11" t="str">
        <f>IF(AVERAGE(J291,L291)=N291,"COINCIDE",IF(L291=N291,"INCONGRUENTE",IF(N291=7,"COINCIDE","DISTINTO")))</f>
        <v>DISTINTO</v>
      </c>
      <c r="P291" s="11" t="s">
        <v>250</v>
      </c>
      <c r="Q291" s="11" t="s">
        <v>22</v>
      </c>
      <c r="R291" s="11" t="s">
        <v>23</v>
      </c>
      <c r="S291" s="6"/>
      <c r="T291" s="6"/>
      <c r="U291" s="6"/>
      <c r="V291" s="6"/>
      <c r="W291" s="6"/>
      <c r="X291" s="6"/>
      <c r="Y291" s="6"/>
    </row>
    <row r="292" spans="1:25" ht="15.75" customHeight="1">
      <c r="A292" s="13" t="s">
        <v>18</v>
      </c>
      <c r="B292" s="13">
        <v>700017600</v>
      </c>
      <c r="C292" s="13">
        <v>7000319</v>
      </c>
      <c r="D292" s="13">
        <v>5406</v>
      </c>
      <c r="E292" s="13">
        <v>-68.463233900000006</v>
      </c>
      <c r="F292" s="13">
        <v>-31.6203173</v>
      </c>
      <c r="G292" s="13" t="s">
        <v>261</v>
      </c>
      <c r="H292" s="13" t="s">
        <v>20</v>
      </c>
      <c r="I292" s="13">
        <v>11</v>
      </c>
      <c r="J292" s="13">
        <f t="shared" si="43"/>
        <v>3</v>
      </c>
      <c r="K292" s="13">
        <v>13</v>
      </c>
      <c r="L292" s="13">
        <f t="shared" si="44"/>
        <v>3</v>
      </c>
      <c r="M292" s="14">
        <v>1.4583333333333332E-2</v>
      </c>
      <c r="N292" s="13">
        <v>3</v>
      </c>
      <c r="O292" s="13" t="str">
        <f t="shared" ref="O292:O295" si="57">IF(AVERAGE(J292,L292)=N292,"COINCIDE",IF(L292=N292,"INCONGRUENTE","DISTINTO"))</f>
        <v>COINCIDE</v>
      </c>
      <c r="P292" s="13" t="s">
        <v>250</v>
      </c>
      <c r="Q292" s="13" t="s">
        <v>22</v>
      </c>
      <c r="R292" s="13" t="s">
        <v>23</v>
      </c>
      <c r="S292" s="6"/>
      <c r="T292" s="6"/>
      <c r="U292" s="6"/>
      <c r="V292" s="6"/>
      <c r="W292" s="6"/>
      <c r="X292" s="6"/>
      <c r="Y292" s="6"/>
    </row>
    <row r="293" spans="1:25" ht="15.75" customHeight="1">
      <c r="A293" s="7" t="s">
        <v>18</v>
      </c>
      <c r="B293" s="7">
        <v>700004600</v>
      </c>
      <c r="C293" s="7">
        <v>7050041</v>
      </c>
      <c r="D293" s="7">
        <v>5406</v>
      </c>
      <c r="E293" s="7">
        <v>-68.539380699999995</v>
      </c>
      <c r="F293" s="7">
        <v>-31.565524400000001</v>
      </c>
      <c r="G293" s="7" t="s">
        <v>265</v>
      </c>
      <c r="H293" s="7" t="s">
        <v>20</v>
      </c>
      <c r="I293" s="7">
        <v>3.4</v>
      </c>
      <c r="J293" s="35">
        <f t="shared" si="43"/>
        <v>1</v>
      </c>
      <c r="K293" s="7">
        <v>5</v>
      </c>
      <c r="L293" s="35">
        <f t="shared" si="44"/>
        <v>2</v>
      </c>
      <c r="M293" s="9">
        <v>1.4583333333333332E-2</v>
      </c>
      <c r="N293" s="7">
        <v>2</v>
      </c>
      <c r="O293" s="35" t="str">
        <f t="shared" si="57"/>
        <v>INCONGRUENTE</v>
      </c>
      <c r="P293" s="7" t="s">
        <v>250</v>
      </c>
      <c r="Q293" s="7" t="s">
        <v>22</v>
      </c>
      <c r="R293" s="7" t="s">
        <v>266</v>
      </c>
      <c r="S293" s="6"/>
      <c r="T293" s="6"/>
      <c r="U293" s="6"/>
      <c r="V293" s="6"/>
      <c r="W293" s="6"/>
      <c r="X293" s="6"/>
      <c r="Y293" s="6"/>
    </row>
    <row r="294" spans="1:25" ht="15.75" customHeight="1">
      <c r="A294" s="7" t="s">
        <v>18</v>
      </c>
      <c r="B294" s="7">
        <v>700004900</v>
      </c>
      <c r="C294" s="7">
        <v>7050043</v>
      </c>
      <c r="D294" s="7">
        <v>5406</v>
      </c>
      <c r="E294" s="7">
        <v>-68.534031999999996</v>
      </c>
      <c r="F294" s="7">
        <v>-31.571844200000001</v>
      </c>
      <c r="G294" s="7" t="s">
        <v>264</v>
      </c>
      <c r="H294" s="7" t="s">
        <v>20</v>
      </c>
      <c r="I294" s="7">
        <v>3.97</v>
      </c>
      <c r="J294" s="35">
        <f t="shared" si="43"/>
        <v>1</v>
      </c>
      <c r="K294" s="7">
        <v>5</v>
      </c>
      <c r="L294" s="35">
        <f t="shared" si="44"/>
        <v>2</v>
      </c>
      <c r="M294" s="9">
        <v>1.4583333333333332E-2</v>
      </c>
      <c r="N294" s="7">
        <v>2</v>
      </c>
      <c r="O294" s="35" t="str">
        <f t="shared" si="57"/>
        <v>INCONGRUENTE</v>
      </c>
      <c r="P294" s="7" t="s">
        <v>250</v>
      </c>
      <c r="Q294" s="7" t="s">
        <v>22</v>
      </c>
      <c r="R294" s="7" t="s">
        <v>23</v>
      </c>
      <c r="S294" s="6"/>
      <c r="T294" s="6"/>
      <c r="U294" s="6"/>
      <c r="V294" s="6"/>
      <c r="W294" s="6"/>
      <c r="X294" s="6"/>
      <c r="Y294" s="6"/>
    </row>
    <row r="295" spans="1:25" ht="15.75" customHeight="1">
      <c r="A295" s="13" t="s">
        <v>18</v>
      </c>
      <c r="B295" s="13">
        <v>700064300</v>
      </c>
      <c r="C295" s="13">
        <v>7050047</v>
      </c>
      <c r="D295" s="13">
        <v>5406</v>
      </c>
      <c r="E295" s="13">
        <v>-68.564128100000005</v>
      </c>
      <c r="F295" s="13">
        <v>-31.570677199999999</v>
      </c>
      <c r="G295" s="13" t="s">
        <v>267</v>
      </c>
      <c r="H295" s="13" t="s">
        <v>20</v>
      </c>
      <c r="I295" s="13">
        <v>5.27</v>
      </c>
      <c r="J295" s="13">
        <f t="shared" si="43"/>
        <v>2</v>
      </c>
      <c r="K295" s="13">
        <v>7</v>
      </c>
      <c r="L295" s="13">
        <f t="shared" si="44"/>
        <v>2</v>
      </c>
      <c r="M295" s="14">
        <v>1.1805555555555555E-2</v>
      </c>
      <c r="N295" s="13">
        <v>2</v>
      </c>
      <c r="O295" s="13" t="str">
        <f t="shared" si="57"/>
        <v>COINCIDE</v>
      </c>
      <c r="P295" s="13" t="s">
        <v>250</v>
      </c>
      <c r="Q295" s="13" t="s">
        <v>22</v>
      </c>
      <c r="R295" s="13" t="s">
        <v>23</v>
      </c>
      <c r="S295" s="6"/>
      <c r="T295" s="6"/>
      <c r="U295" s="6"/>
      <c r="V295" s="6"/>
      <c r="W295" s="6"/>
      <c r="X295" s="6"/>
      <c r="Y295" s="6"/>
    </row>
    <row r="296" spans="1:25" ht="15.75" customHeight="1">
      <c r="A296" s="11" t="s">
        <v>18</v>
      </c>
      <c r="B296" s="11">
        <v>700024900</v>
      </c>
      <c r="C296" s="11">
        <v>7050054</v>
      </c>
      <c r="D296" s="11">
        <v>5406</v>
      </c>
      <c r="E296" s="11">
        <v>-68.557515699999996</v>
      </c>
      <c r="F296" s="11">
        <v>-31.576673799999998</v>
      </c>
      <c r="G296" s="11" t="s">
        <v>268</v>
      </c>
      <c r="H296" s="11" t="s">
        <v>20</v>
      </c>
      <c r="I296" s="11">
        <v>5.39</v>
      </c>
      <c r="J296" s="11">
        <f t="shared" si="43"/>
        <v>2</v>
      </c>
      <c r="K296" s="11">
        <v>7</v>
      </c>
      <c r="L296" s="11">
        <f t="shared" si="44"/>
        <v>2</v>
      </c>
      <c r="M296" s="12">
        <v>1.0416666666666666E-2</v>
      </c>
      <c r="N296" s="11">
        <v>3</v>
      </c>
      <c r="O296" s="11" t="str">
        <f t="shared" ref="O296:O297" si="58">IF(AVERAGE(J296,L296)=N296,"COINCIDE",IF(L296=N296,"INCONGRUENTE",IF(N296=7,"COINCIDE","DISTINTO")))</f>
        <v>DISTINTO</v>
      </c>
      <c r="P296" s="11" t="s">
        <v>250</v>
      </c>
      <c r="Q296" s="11" t="s">
        <v>22</v>
      </c>
      <c r="R296" s="11" t="s">
        <v>23</v>
      </c>
      <c r="S296" s="6"/>
      <c r="T296" s="6"/>
      <c r="U296" s="6"/>
      <c r="V296" s="6"/>
      <c r="W296" s="6"/>
      <c r="X296" s="6"/>
      <c r="Y296" s="6"/>
    </row>
    <row r="297" spans="1:25" ht="15.75" customHeight="1">
      <c r="A297" s="11" t="s">
        <v>26</v>
      </c>
      <c r="B297" s="11">
        <v>700037000</v>
      </c>
      <c r="C297" s="11">
        <v>7050281</v>
      </c>
      <c r="D297" s="11">
        <v>5406</v>
      </c>
      <c r="E297" s="11">
        <v>-68.5308615</v>
      </c>
      <c r="F297" s="11">
        <v>-31.570249199999999</v>
      </c>
      <c r="G297" s="11" t="s">
        <v>264</v>
      </c>
      <c r="H297" s="11" t="s">
        <v>20</v>
      </c>
      <c r="I297" s="11">
        <v>3.74</v>
      </c>
      <c r="J297" s="11">
        <f t="shared" si="43"/>
        <v>1</v>
      </c>
      <c r="K297" s="11">
        <v>4</v>
      </c>
      <c r="L297" s="11">
        <f t="shared" si="44"/>
        <v>1</v>
      </c>
      <c r="M297" s="12">
        <v>8.3333333333333332E-3</v>
      </c>
      <c r="N297" s="11">
        <v>2</v>
      </c>
      <c r="O297" s="11" t="str">
        <f t="shared" si="58"/>
        <v>DISTINTO</v>
      </c>
      <c r="P297" s="11" t="s">
        <v>250</v>
      </c>
      <c r="Q297" s="11" t="s">
        <v>22</v>
      </c>
      <c r="R297" s="11" t="s">
        <v>23</v>
      </c>
      <c r="S297" s="6"/>
      <c r="T297" s="6"/>
      <c r="U297" s="6"/>
      <c r="V297" s="6"/>
      <c r="W297" s="6"/>
      <c r="X297" s="6"/>
      <c r="Y297" s="6"/>
    </row>
    <row r="298" spans="1:25" ht="15" customHeight="1">
      <c r="A298" s="13">
        <v>0.13125000000000001</v>
      </c>
      <c r="B298" s="13">
        <v>700082300</v>
      </c>
      <c r="C298" s="13">
        <v>7100017</v>
      </c>
      <c r="D298" s="13">
        <v>5406</v>
      </c>
      <c r="E298" s="13">
        <v>-68.575171699999999</v>
      </c>
      <c r="F298" s="13">
        <v>-31.571933399999999</v>
      </c>
      <c r="G298" s="13" t="s">
        <v>269</v>
      </c>
      <c r="H298" s="13" t="s">
        <v>20</v>
      </c>
      <c r="I298" s="13">
        <v>6.14</v>
      </c>
      <c r="J298" s="13">
        <f t="shared" si="43"/>
        <v>2</v>
      </c>
      <c r="K298" s="13">
        <v>9</v>
      </c>
      <c r="L298" s="13">
        <f t="shared" si="44"/>
        <v>2</v>
      </c>
      <c r="M298" s="14">
        <v>1.2499999999999999E-2</v>
      </c>
      <c r="N298" s="13">
        <v>2</v>
      </c>
      <c r="O298" s="13" t="str">
        <f t="shared" ref="O298:O300" si="59">IF(AVERAGE(J298,L298)=N298,"COINCIDE",IF(L298=N298,"INCONGRUENTE","DISTINTO"))</f>
        <v>COINCIDE</v>
      </c>
      <c r="P298" s="13" t="s">
        <v>250</v>
      </c>
      <c r="Q298" s="13" t="s">
        <v>22</v>
      </c>
      <c r="R298" s="13" t="s">
        <v>23</v>
      </c>
      <c r="S298" s="6"/>
      <c r="T298" s="6"/>
      <c r="U298" s="6"/>
      <c r="V298" s="6"/>
      <c r="W298" s="6"/>
      <c r="X298" s="6"/>
      <c r="Y298" s="6"/>
    </row>
    <row r="299" spans="1:25" ht="15.75" customHeight="1">
      <c r="A299" s="13" t="s">
        <v>174</v>
      </c>
      <c r="B299" s="13">
        <v>700004700</v>
      </c>
      <c r="C299" s="13">
        <v>7100067</v>
      </c>
      <c r="D299" s="13">
        <v>5406</v>
      </c>
      <c r="E299" s="13">
        <v>-68.535658299999994</v>
      </c>
      <c r="F299" s="13">
        <v>-31.5735174</v>
      </c>
      <c r="G299" s="13" t="s">
        <v>250</v>
      </c>
      <c r="H299" s="13" t="s">
        <v>20</v>
      </c>
      <c r="I299" s="13">
        <v>4.18</v>
      </c>
      <c r="J299" s="13">
        <f t="shared" si="43"/>
        <v>2</v>
      </c>
      <c r="K299" s="13">
        <v>5</v>
      </c>
      <c r="L299" s="13">
        <f t="shared" si="44"/>
        <v>2</v>
      </c>
      <c r="M299" s="14">
        <v>9.0277777777777787E-3</v>
      </c>
      <c r="N299" s="13">
        <v>2</v>
      </c>
      <c r="O299" s="13" t="str">
        <f t="shared" si="59"/>
        <v>COINCIDE</v>
      </c>
      <c r="P299" s="13" t="s">
        <v>250</v>
      </c>
      <c r="Q299" s="13" t="s">
        <v>22</v>
      </c>
      <c r="R299" s="13" t="s">
        <v>23</v>
      </c>
      <c r="S299" s="6"/>
      <c r="T299" s="6"/>
      <c r="U299" s="6"/>
      <c r="V299" s="6"/>
      <c r="W299" s="6"/>
      <c r="X299" s="6"/>
      <c r="Y299" s="6"/>
    </row>
    <row r="300" spans="1:25" ht="15.75" customHeight="1">
      <c r="A300" s="13" t="s">
        <v>64</v>
      </c>
      <c r="B300" s="13">
        <v>700005300</v>
      </c>
      <c r="C300" s="13" t="s">
        <v>270</v>
      </c>
      <c r="D300" s="13">
        <v>5406</v>
      </c>
      <c r="E300" s="13">
        <v>-68.561746400000004</v>
      </c>
      <c r="F300" s="13">
        <v>-31.570198600000001</v>
      </c>
      <c r="G300" s="13" t="s">
        <v>250</v>
      </c>
      <c r="H300" s="13" t="s">
        <v>20</v>
      </c>
      <c r="I300" s="13">
        <v>5.07</v>
      </c>
      <c r="J300" s="13">
        <f t="shared" si="43"/>
        <v>2</v>
      </c>
      <c r="K300" s="13">
        <v>7</v>
      </c>
      <c r="L300" s="13">
        <f t="shared" si="44"/>
        <v>2</v>
      </c>
      <c r="M300" s="14">
        <v>9.0277777777777787E-3</v>
      </c>
      <c r="N300" s="13">
        <v>2</v>
      </c>
      <c r="O300" s="13" t="str">
        <f t="shared" si="59"/>
        <v>COINCIDE</v>
      </c>
      <c r="P300" s="13" t="s">
        <v>250</v>
      </c>
      <c r="Q300" s="13" t="s">
        <v>22</v>
      </c>
      <c r="R300" s="13" t="s">
        <v>23</v>
      </c>
      <c r="S300" s="6"/>
      <c r="T300" s="6"/>
      <c r="U300" s="6"/>
      <c r="V300" s="6"/>
      <c r="W300" s="6"/>
      <c r="X300" s="6"/>
      <c r="Y300" s="6"/>
    </row>
    <row r="301" spans="1:25" ht="15.75" customHeight="1">
      <c r="A301" s="11" t="s">
        <v>40</v>
      </c>
      <c r="B301" s="11">
        <v>700033300</v>
      </c>
      <c r="C301" s="11" t="s">
        <v>271</v>
      </c>
      <c r="D301" s="11">
        <v>5406</v>
      </c>
      <c r="E301" s="11">
        <v>-68.508005299999994</v>
      </c>
      <c r="F301" s="11">
        <v>-31.557148699999999</v>
      </c>
      <c r="G301" s="11" t="s">
        <v>272</v>
      </c>
      <c r="H301" s="11" t="s">
        <v>20</v>
      </c>
      <c r="I301" s="11">
        <v>2.76</v>
      </c>
      <c r="J301" s="11">
        <f t="shared" si="43"/>
        <v>1</v>
      </c>
      <c r="K301" s="11">
        <v>4</v>
      </c>
      <c r="L301" s="11">
        <f t="shared" si="44"/>
        <v>1</v>
      </c>
      <c r="M301" s="12">
        <v>3.4027777777777775E-2</v>
      </c>
      <c r="N301" s="11">
        <v>2</v>
      </c>
      <c r="O301" s="11" t="str">
        <f>IF(AVERAGE(J301,L301)=N301,"COINCIDE",IF(L301=N301,"INCONGRUENTE",IF(N301=7,"COINCIDE","DISTINTO")))</f>
        <v>DISTINTO</v>
      </c>
      <c r="P301" s="11" t="s">
        <v>250</v>
      </c>
      <c r="Q301" s="11" t="s">
        <v>22</v>
      </c>
      <c r="R301" s="11" t="s">
        <v>23</v>
      </c>
      <c r="S301" s="6"/>
      <c r="T301" s="6"/>
      <c r="U301" s="6"/>
      <c r="V301" s="6"/>
      <c r="W301" s="6"/>
      <c r="X301" s="6"/>
      <c r="Y301" s="6"/>
    </row>
    <row r="302" spans="1:25" ht="15.75" customHeight="1">
      <c r="A302" s="13" t="s">
        <v>18</v>
      </c>
      <c r="B302" s="13">
        <v>700097100</v>
      </c>
      <c r="C302" s="13" t="s">
        <v>273</v>
      </c>
      <c r="D302" s="13">
        <v>5406</v>
      </c>
      <c r="E302" s="13">
        <v>-68.505433499999995</v>
      </c>
      <c r="F302" s="13">
        <v>-31.583772100000001</v>
      </c>
      <c r="G302" s="13" t="s">
        <v>274</v>
      </c>
      <c r="H302" s="13" t="s">
        <v>20</v>
      </c>
      <c r="I302" s="13">
        <v>5.52</v>
      </c>
      <c r="J302" s="13">
        <f t="shared" si="43"/>
        <v>2</v>
      </c>
      <c r="K302" s="13">
        <v>6</v>
      </c>
      <c r="L302" s="13">
        <f t="shared" si="44"/>
        <v>2</v>
      </c>
      <c r="M302" s="14">
        <v>9.7222222222222224E-3</v>
      </c>
      <c r="N302" s="13">
        <v>2</v>
      </c>
      <c r="O302" s="13" t="str">
        <f t="shared" ref="O302:O303" si="60">IF(AVERAGE(J302,L302)=N302,"COINCIDE",IF(L302=N302,"INCONGRUENTE","DISTINTO"))</f>
        <v>COINCIDE</v>
      </c>
      <c r="P302" s="13" t="s">
        <v>250</v>
      </c>
      <c r="Q302" s="13" t="s">
        <v>22</v>
      </c>
      <c r="R302" s="13" t="s">
        <v>23</v>
      </c>
      <c r="S302" s="6"/>
      <c r="T302" s="6"/>
      <c r="U302" s="6"/>
      <c r="V302" s="6"/>
      <c r="W302" s="6"/>
      <c r="X302" s="6"/>
      <c r="Y302" s="6"/>
    </row>
    <row r="303" spans="1:25" ht="15.75" customHeight="1">
      <c r="A303" s="7" t="s">
        <v>18</v>
      </c>
      <c r="B303" s="7">
        <v>700105900</v>
      </c>
      <c r="C303" s="7" t="s">
        <v>275</v>
      </c>
      <c r="D303" s="7">
        <v>5406</v>
      </c>
      <c r="E303" s="7">
        <v>-68.599955199999997</v>
      </c>
      <c r="F303" s="7">
        <v>-31.5676047</v>
      </c>
      <c r="G303" s="7" t="s">
        <v>276</v>
      </c>
      <c r="H303" s="7" t="s">
        <v>20</v>
      </c>
      <c r="I303" s="7">
        <v>7.83</v>
      </c>
      <c r="J303" s="35">
        <f t="shared" si="43"/>
        <v>2</v>
      </c>
      <c r="K303" s="7">
        <v>11</v>
      </c>
      <c r="L303" s="35">
        <f t="shared" si="44"/>
        <v>3</v>
      </c>
      <c r="M303" s="9">
        <v>1.5277777777777777E-2</v>
      </c>
      <c r="N303" s="7">
        <v>3</v>
      </c>
      <c r="O303" s="35" t="str">
        <f t="shared" si="60"/>
        <v>INCONGRUENTE</v>
      </c>
      <c r="P303" s="7" t="s">
        <v>250</v>
      </c>
      <c r="Q303" s="7" t="s">
        <v>22</v>
      </c>
      <c r="R303" s="7" t="s">
        <v>23</v>
      </c>
      <c r="S303" s="6"/>
      <c r="T303" s="6"/>
      <c r="U303" s="6"/>
      <c r="V303" s="6"/>
      <c r="W303" s="6"/>
      <c r="X303" s="6"/>
      <c r="Y303" s="6"/>
    </row>
    <row r="304" spans="1:25" ht="15.75" customHeight="1">
      <c r="A304" s="11" t="s">
        <v>64</v>
      </c>
      <c r="B304" s="11">
        <v>700024600</v>
      </c>
      <c r="C304" s="11" t="s">
        <v>277</v>
      </c>
      <c r="D304" s="11">
        <v>5406</v>
      </c>
      <c r="E304" s="11">
        <v>-68.550446699999995</v>
      </c>
      <c r="F304" s="11">
        <v>-31.5798272</v>
      </c>
      <c r="G304" s="11" t="s">
        <v>278</v>
      </c>
      <c r="H304" s="11" t="s">
        <v>20</v>
      </c>
      <c r="I304" s="11">
        <v>5.34</v>
      </c>
      <c r="J304" s="11">
        <f t="shared" si="43"/>
        <v>2</v>
      </c>
      <c r="K304" s="11">
        <v>6</v>
      </c>
      <c r="L304" s="11">
        <f t="shared" si="44"/>
        <v>2</v>
      </c>
      <c r="M304" s="12">
        <v>9.0277777777777787E-3</v>
      </c>
      <c r="N304" s="11">
        <v>3</v>
      </c>
      <c r="O304" s="11" t="str">
        <f>IF(AVERAGE(J304,L304)=N304,"COINCIDE",IF(L304=N304,"INCONGRUENTE",IF(N304=7,"COINCIDE","DISTINTO")))</f>
        <v>DISTINTO</v>
      </c>
      <c r="P304" s="11" t="s">
        <v>250</v>
      </c>
      <c r="Q304" s="11" t="s">
        <v>22</v>
      </c>
      <c r="R304" s="11" t="s">
        <v>23</v>
      </c>
      <c r="S304" s="6"/>
      <c r="T304" s="6"/>
      <c r="U304" s="6"/>
      <c r="V304" s="6"/>
      <c r="W304" s="6"/>
      <c r="X304" s="6"/>
      <c r="Y304" s="6"/>
    </row>
    <row r="305" spans="1:25" ht="15.75" customHeight="1">
      <c r="A305" s="13" t="s">
        <v>42</v>
      </c>
      <c r="B305" s="13">
        <v>700030300</v>
      </c>
      <c r="C305" s="13" t="s">
        <v>279</v>
      </c>
      <c r="D305" s="13">
        <v>5406</v>
      </c>
      <c r="E305" s="13">
        <v>-68.532216199999993</v>
      </c>
      <c r="F305" s="13">
        <v>-31.583888900000002</v>
      </c>
      <c r="G305" s="13" t="s">
        <v>280</v>
      </c>
      <c r="H305" s="13" t="s">
        <v>20</v>
      </c>
      <c r="I305" s="13">
        <v>5.26</v>
      </c>
      <c r="J305" s="13">
        <f t="shared" si="43"/>
        <v>2</v>
      </c>
      <c r="K305" s="13">
        <v>7</v>
      </c>
      <c r="L305" s="13">
        <f t="shared" si="44"/>
        <v>2</v>
      </c>
      <c r="M305" s="14">
        <v>8.3333333333333332E-3</v>
      </c>
      <c r="N305" s="13">
        <v>2</v>
      </c>
      <c r="O305" s="13" t="str">
        <f t="shared" ref="O305:O306" si="61">IF(AVERAGE(J305,L305)=N305,"COINCIDE",IF(L305=N305,"INCONGRUENTE","DISTINTO"))</f>
        <v>COINCIDE</v>
      </c>
      <c r="P305" s="13" t="s">
        <v>250</v>
      </c>
      <c r="Q305" s="13" t="s">
        <v>22</v>
      </c>
      <c r="R305" s="13" t="s">
        <v>281</v>
      </c>
      <c r="S305" s="6"/>
      <c r="T305" s="6"/>
      <c r="U305" s="6"/>
      <c r="V305" s="6"/>
      <c r="W305" s="6"/>
      <c r="X305" s="6"/>
      <c r="Y305" s="6"/>
    </row>
    <row r="306" spans="1:25" ht="15.75" customHeight="1">
      <c r="A306" s="15" t="s">
        <v>136</v>
      </c>
      <c r="B306" s="15">
        <v>700030400</v>
      </c>
      <c r="C306" s="15" t="s">
        <v>282</v>
      </c>
      <c r="D306" s="15">
        <v>5406</v>
      </c>
      <c r="E306" s="15">
        <v>-68.532185400000003</v>
      </c>
      <c r="F306" s="15">
        <v>-31.5786689</v>
      </c>
      <c r="G306" s="15" t="s">
        <v>264</v>
      </c>
      <c r="H306" s="15" t="s">
        <v>20</v>
      </c>
      <c r="I306" s="15">
        <v>4.6900000000000004</v>
      </c>
      <c r="J306" s="33">
        <f t="shared" si="43"/>
        <v>2</v>
      </c>
      <c r="K306" s="15">
        <v>5</v>
      </c>
      <c r="L306" s="33">
        <f t="shared" si="44"/>
        <v>2</v>
      </c>
      <c r="M306" s="16">
        <v>9.0277777777777787E-3</v>
      </c>
      <c r="N306" s="15">
        <v>2</v>
      </c>
      <c r="O306" s="33" t="str">
        <f t="shared" si="61"/>
        <v>COINCIDE</v>
      </c>
      <c r="P306" s="15" t="s">
        <v>250</v>
      </c>
      <c r="Q306" s="15" t="s">
        <v>22</v>
      </c>
      <c r="R306" s="15" t="s">
        <v>23</v>
      </c>
      <c r="S306" s="6"/>
      <c r="T306" s="6"/>
      <c r="U306" s="6"/>
      <c r="V306" s="6"/>
      <c r="W306" s="6"/>
      <c r="X306" s="6"/>
      <c r="Y306" s="6"/>
    </row>
    <row r="307" spans="1:25" ht="15.75" customHeight="1">
      <c r="A307" s="11" t="s">
        <v>18</v>
      </c>
      <c r="B307" s="11">
        <v>700052300</v>
      </c>
      <c r="C307" s="11">
        <v>7000290</v>
      </c>
      <c r="D307" s="11">
        <v>5407</v>
      </c>
      <c r="E307" s="11">
        <v>-68.555003299999996</v>
      </c>
      <c r="F307" s="11">
        <v>-31.547114499999999</v>
      </c>
      <c r="G307" s="11" t="s">
        <v>283</v>
      </c>
      <c r="H307" s="11" t="s">
        <v>20</v>
      </c>
      <c r="I307" s="37">
        <v>3.06</v>
      </c>
      <c r="J307" s="11">
        <f t="shared" si="43"/>
        <v>1</v>
      </c>
      <c r="K307" s="38">
        <v>4</v>
      </c>
      <c r="L307" s="11">
        <f t="shared" si="44"/>
        <v>1</v>
      </c>
      <c r="M307" s="39">
        <v>6.9444444444444441E-3</v>
      </c>
      <c r="N307" s="37">
        <v>2</v>
      </c>
      <c r="O307" s="11" t="str">
        <f t="shared" ref="O307:O308" si="62">IF(AVERAGE(J307,L307)=N307,"COINCIDE",IF(L307=N307,"INCONGRUENTE",IF(N307=7,"COINCIDE","DISTINTO")))</f>
        <v>DISTINTO</v>
      </c>
      <c r="P307" s="40" t="s">
        <v>284</v>
      </c>
      <c r="Q307" s="11" t="s">
        <v>22</v>
      </c>
      <c r="R307" s="11" t="s">
        <v>23</v>
      </c>
      <c r="S307" s="6"/>
      <c r="T307" s="6"/>
      <c r="U307" s="6"/>
      <c r="V307" s="6"/>
      <c r="W307" s="6"/>
      <c r="X307" s="6"/>
      <c r="Y307" s="6"/>
    </row>
    <row r="308" spans="1:25" ht="15.75" customHeight="1">
      <c r="A308" s="11" t="s">
        <v>18</v>
      </c>
      <c r="B308" s="11">
        <v>700015500</v>
      </c>
      <c r="C308" s="11">
        <v>7000291</v>
      </c>
      <c r="D308" s="11">
        <v>5407</v>
      </c>
      <c r="E308" s="11">
        <v>-68.5685158</v>
      </c>
      <c r="F308" s="11">
        <v>-31.537944799999998</v>
      </c>
      <c r="G308" s="11" t="s">
        <v>284</v>
      </c>
      <c r="H308" s="11" t="s">
        <v>20</v>
      </c>
      <c r="I308" s="37">
        <v>4</v>
      </c>
      <c r="J308" s="11">
        <f t="shared" si="43"/>
        <v>1</v>
      </c>
      <c r="K308" s="38">
        <v>4</v>
      </c>
      <c r="L308" s="11">
        <f t="shared" si="44"/>
        <v>1</v>
      </c>
      <c r="M308" s="39">
        <v>7.6388888888888886E-3</v>
      </c>
      <c r="N308" s="37">
        <v>2</v>
      </c>
      <c r="O308" s="11" t="str">
        <f t="shared" si="62"/>
        <v>DISTINTO</v>
      </c>
      <c r="P308" s="40" t="s">
        <v>284</v>
      </c>
      <c r="Q308" s="11" t="s">
        <v>22</v>
      </c>
      <c r="R308" s="11" t="s">
        <v>23</v>
      </c>
      <c r="S308" s="6"/>
      <c r="T308" s="6"/>
      <c r="U308" s="6"/>
      <c r="V308" s="6"/>
      <c r="W308" s="6"/>
      <c r="X308" s="6"/>
      <c r="Y308" s="6"/>
    </row>
    <row r="309" spans="1:25" ht="15.75" customHeight="1">
      <c r="A309" s="17" t="s">
        <v>18</v>
      </c>
      <c r="B309" s="17">
        <v>700028000</v>
      </c>
      <c r="C309" s="17">
        <v>7000292</v>
      </c>
      <c r="D309" s="17">
        <v>5407</v>
      </c>
      <c r="E309" s="17">
        <v>-68.598172099999999</v>
      </c>
      <c r="F309" s="17">
        <v>-31.5167395</v>
      </c>
      <c r="G309" s="17" t="s">
        <v>284</v>
      </c>
      <c r="H309" s="17" t="s">
        <v>20</v>
      </c>
      <c r="I309" s="41">
        <v>7.3</v>
      </c>
      <c r="J309" s="13">
        <f t="shared" si="43"/>
        <v>2</v>
      </c>
      <c r="K309" s="42">
        <v>9</v>
      </c>
      <c r="L309" s="13">
        <f t="shared" si="44"/>
        <v>2</v>
      </c>
      <c r="M309" s="43">
        <v>1.3194444444444444E-2</v>
      </c>
      <c r="N309" s="44">
        <v>2</v>
      </c>
      <c r="O309" s="13" t="str">
        <f t="shared" ref="O309:O316" si="63">IF(AVERAGE(J309,L309)=N309,"COINCIDE",IF(L309=N309,"INCONGRUENTE","DISTINTO"))</f>
        <v>COINCIDE</v>
      </c>
      <c r="P309" s="45" t="s">
        <v>284</v>
      </c>
      <c r="Q309" s="17" t="s">
        <v>22</v>
      </c>
      <c r="R309" s="17" t="s">
        <v>285</v>
      </c>
      <c r="S309" s="6"/>
      <c r="T309" s="6"/>
      <c r="U309" s="6"/>
      <c r="V309" s="6"/>
      <c r="W309" s="6"/>
      <c r="X309" s="6"/>
      <c r="Y309" s="6"/>
    </row>
    <row r="310" spans="1:25" ht="15.75" customHeight="1">
      <c r="A310" s="13" t="s">
        <v>64</v>
      </c>
      <c r="B310" s="13">
        <v>700050200</v>
      </c>
      <c r="C310" s="13">
        <v>7000293</v>
      </c>
      <c r="D310" s="13">
        <v>5407</v>
      </c>
      <c r="E310" s="13">
        <v>-68.581660799999995</v>
      </c>
      <c r="F310" s="13">
        <v>-31.512936199999999</v>
      </c>
      <c r="G310" s="13" t="s">
        <v>286</v>
      </c>
      <c r="H310" s="13" t="s">
        <v>20</v>
      </c>
      <c r="I310" s="41">
        <v>6.01</v>
      </c>
      <c r="J310" s="13">
        <f t="shared" si="43"/>
        <v>2</v>
      </c>
      <c r="K310" s="42">
        <v>8</v>
      </c>
      <c r="L310" s="13">
        <f t="shared" si="44"/>
        <v>2</v>
      </c>
      <c r="M310" s="46">
        <v>1.1111111111111112E-2</v>
      </c>
      <c r="N310" s="41">
        <v>2</v>
      </c>
      <c r="O310" s="13" t="str">
        <f t="shared" si="63"/>
        <v>COINCIDE</v>
      </c>
      <c r="P310" s="47" t="s">
        <v>284</v>
      </c>
      <c r="Q310" s="13" t="s">
        <v>22</v>
      </c>
      <c r="R310" s="13" t="s">
        <v>23</v>
      </c>
      <c r="S310" s="6"/>
      <c r="T310" s="6"/>
      <c r="U310" s="6"/>
      <c r="V310" s="6"/>
      <c r="W310" s="6"/>
      <c r="X310" s="6"/>
      <c r="Y310" s="6"/>
    </row>
    <row r="311" spans="1:25" ht="15.75" customHeight="1">
      <c r="A311" s="13" t="s">
        <v>18</v>
      </c>
      <c r="B311" s="13">
        <v>700015400</v>
      </c>
      <c r="C311" s="13">
        <v>7000294</v>
      </c>
      <c r="D311" s="13">
        <v>5407</v>
      </c>
      <c r="E311" s="13">
        <v>-68.580159399999999</v>
      </c>
      <c r="F311" s="13">
        <v>-31.528373800000001</v>
      </c>
      <c r="G311" s="13" t="s">
        <v>287</v>
      </c>
      <c r="H311" s="13" t="s">
        <v>20</v>
      </c>
      <c r="I311" s="41">
        <v>5.32</v>
      </c>
      <c r="J311" s="13">
        <f t="shared" si="43"/>
        <v>2</v>
      </c>
      <c r="K311" s="42">
        <v>6</v>
      </c>
      <c r="L311" s="13">
        <f t="shared" si="44"/>
        <v>2</v>
      </c>
      <c r="M311" s="46">
        <v>1.0416666666666666E-2</v>
      </c>
      <c r="N311" s="41">
        <v>2</v>
      </c>
      <c r="O311" s="13" t="str">
        <f t="shared" si="63"/>
        <v>COINCIDE</v>
      </c>
      <c r="P311" s="47" t="s">
        <v>284</v>
      </c>
      <c r="Q311" s="13" t="s">
        <v>22</v>
      </c>
      <c r="R311" s="13" t="s">
        <v>23</v>
      </c>
      <c r="S311" s="6"/>
      <c r="T311" s="6"/>
      <c r="U311" s="6"/>
      <c r="V311" s="6"/>
      <c r="W311" s="6"/>
      <c r="X311" s="6"/>
      <c r="Y311" s="6"/>
    </row>
    <row r="312" spans="1:25" ht="15.75" customHeight="1">
      <c r="A312" s="13" t="s">
        <v>18</v>
      </c>
      <c r="B312" s="13">
        <v>700028300</v>
      </c>
      <c r="C312" s="13">
        <v>7000300</v>
      </c>
      <c r="D312" s="13">
        <v>5407</v>
      </c>
      <c r="E312" s="13">
        <v>-68.591362700000005</v>
      </c>
      <c r="F312" s="13">
        <v>-31.536753099999999</v>
      </c>
      <c r="G312" s="13" t="s">
        <v>288</v>
      </c>
      <c r="H312" s="13" t="s">
        <v>20</v>
      </c>
      <c r="I312" s="41">
        <v>6.29</v>
      </c>
      <c r="J312" s="13">
        <f t="shared" si="43"/>
        <v>2</v>
      </c>
      <c r="K312" s="42">
        <v>7</v>
      </c>
      <c r="L312" s="13">
        <f t="shared" si="44"/>
        <v>2</v>
      </c>
      <c r="M312" s="46">
        <v>1.1111111111111112E-2</v>
      </c>
      <c r="N312" s="41">
        <v>2</v>
      </c>
      <c r="O312" s="13" t="str">
        <f t="shared" si="63"/>
        <v>COINCIDE</v>
      </c>
      <c r="P312" s="47" t="s">
        <v>284</v>
      </c>
      <c r="Q312" s="13" t="s">
        <v>22</v>
      </c>
      <c r="R312" s="13" t="s">
        <v>23</v>
      </c>
      <c r="S312" s="6"/>
      <c r="T312" s="6"/>
      <c r="U312" s="6"/>
      <c r="V312" s="6"/>
      <c r="W312" s="6"/>
      <c r="X312" s="6"/>
      <c r="Y312" s="6"/>
    </row>
    <row r="313" spans="1:25" ht="15.75" customHeight="1">
      <c r="A313" s="13" t="s">
        <v>18</v>
      </c>
      <c r="B313" s="13">
        <v>700015300</v>
      </c>
      <c r="C313" s="13">
        <v>7000301</v>
      </c>
      <c r="D313" s="13">
        <v>5407</v>
      </c>
      <c r="E313" s="13">
        <v>-68.574142699999996</v>
      </c>
      <c r="F313" s="13">
        <v>-31.515820000000001</v>
      </c>
      <c r="G313" s="13" t="s">
        <v>289</v>
      </c>
      <c r="H313" s="13" t="s">
        <v>20</v>
      </c>
      <c r="I313" s="41">
        <v>5.22</v>
      </c>
      <c r="J313" s="13">
        <f t="shared" si="43"/>
        <v>2</v>
      </c>
      <c r="K313" s="42">
        <v>7</v>
      </c>
      <c r="L313" s="13">
        <f t="shared" si="44"/>
        <v>2</v>
      </c>
      <c r="M313" s="46">
        <v>1.0416666666666666E-2</v>
      </c>
      <c r="N313" s="41">
        <v>2</v>
      </c>
      <c r="O313" s="13" t="str">
        <f t="shared" si="63"/>
        <v>COINCIDE</v>
      </c>
      <c r="P313" s="47" t="s">
        <v>284</v>
      </c>
      <c r="Q313" s="13" t="s">
        <v>22</v>
      </c>
      <c r="R313" s="13" t="s">
        <v>23</v>
      </c>
      <c r="S313" s="6"/>
      <c r="T313" s="6"/>
      <c r="U313" s="6"/>
      <c r="V313" s="6"/>
      <c r="W313" s="6"/>
      <c r="X313" s="6"/>
      <c r="Y313" s="6"/>
    </row>
    <row r="314" spans="1:25" ht="15.75" customHeight="1">
      <c r="A314" s="7" t="s">
        <v>18</v>
      </c>
      <c r="B314" s="7">
        <v>700052900</v>
      </c>
      <c r="C314" s="7">
        <v>7000304</v>
      </c>
      <c r="D314" s="7">
        <v>5407</v>
      </c>
      <c r="E314" s="7">
        <v>-68.557910500000006</v>
      </c>
      <c r="F314" s="7">
        <v>-31.550221100000002</v>
      </c>
      <c r="G314" s="7" t="s">
        <v>290</v>
      </c>
      <c r="H314" s="7" t="s">
        <v>20</v>
      </c>
      <c r="I314" s="48">
        <v>3.38</v>
      </c>
      <c r="J314" s="35">
        <f t="shared" si="43"/>
        <v>1</v>
      </c>
      <c r="K314" s="49">
        <v>5</v>
      </c>
      <c r="L314" s="35">
        <f t="shared" si="44"/>
        <v>2</v>
      </c>
      <c r="M314" s="50">
        <v>7.6388888888888886E-3</v>
      </c>
      <c r="N314" s="48">
        <v>2</v>
      </c>
      <c r="O314" s="35" t="str">
        <f t="shared" si="63"/>
        <v>INCONGRUENTE</v>
      </c>
      <c r="P314" s="51" t="s">
        <v>284</v>
      </c>
      <c r="Q314" s="7" t="s">
        <v>22</v>
      </c>
      <c r="R314" s="7" t="s">
        <v>23</v>
      </c>
      <c r="S314" s="6"/>
      <c r="T314" s="6"/>
      <c r="U314" s="6"/>
      <c r="V314" s="6"/>
      <c r="W314" s="6"/>
      <c r="X314" s="6"/>
      <c r="Y314" s="6"/>
    </row>
    <row r="315" spans="1:25" ht="15.75" customHeight="1">
      <c r="A315" s="13" t="s">
        <v>18</v>
      </c>
      <c r="B315" s="13">
        <v>700050700</v>
      </c>
      <c r="C315" s="13">
        <v>7000303</v>
      </c>
      <c r="D315" s="13">
        <v>5407</v>
      </c>
      <c r="E315" s="13">
        <v>-68.5656611</v>
      </c>
      <c r="F315" s="13">
        <v>-31.515841699999999</v>
      </c>
      <c r="G315" s="13" t="s">
        <v>291</v>
      </c>
      <c r="H315" s="13" t="s">
        <v>20</v>
      </c>
      <c r="I315" s="41">
        <v>4.5199999999999996</v>
      </c>
      <c r="J315" s="13">
        <f t="shared" si="43"/>
        <v>2</v>
      </c>
      <c r="K315" s="42">
        <v>6</v>
      </c>
      <c r="L315" s="13">
        <f t="shared" si="44"/>
        <v>2</v>
      </c>
      <c r="M315" s="46">
        <v>9.0277777777777787E-3</v>
      </c>
      <c r="N315" s="41">
        <v>2</v>
      </c>
      <c r="O315" s="13" t="str">
        <f t="shared" si="63"/>
        <v>COINCIDE</v>
      </c>
      <c r="P315" s="47" t="s">
        <v>284</v>
      </c>
      <c r="Q315" s="13" t="s">
        <v>22</v>
      </c>
      <c r="R315" s="13" t="s">
        <v>292</v>
      </c>
      <c r="S315" s="6"/>
      <c r="T315" s="6"/>
      <c r="U315" s="6"/>
      <c r="V315" s="6"/>
      <c r="W315" s="6"/>
      <c r="X315" s="6"/>
      <c r="Y315" s="6"/>
    </row>
    <row r="316" spans="1:25" ht="15.75" customHeight="1">
      <c r="A316" s="13" t="s">
        <v>18</v>
      </c>
      <c r="B316" s="13">
        <v>700052800</v>
      </c>
      <c r="C316" s="13">
        <v>7000302</v>
      </c>
      <c r="D316" s="13">
        <v>5407</v>
      </c>
      <c r="E316" s="13">
        <v>-68.564940899999996</v>
      </c>
      <c r="F316" s="13">
        <v>-31.5535706</v>
      </c>
      <c r="G316" s="13" t="s">
        <v>293</v>
      </c>
      <c r="H316" s="13" t="s">
        <v>20</v>
      </c>
      <c r="I316" s="41">
        <v>4.21</v>
      </c>
      <c r="J316" s="13">
        <f t="shared" si="43"/>
        <v>2</v>
      </c>
      <c r="K316" s="42">
        <v>6</v>
      </c>
      <c r="L316" s="13">
        <f t="shared" si="44"/>
        <v>2</v>
      </c>
      <c r="M316" s="46">
        <v>9.0277777777777787E-3</v>
      </c>
      <c r="N316" s="41">
        <v>2</v>
      </c>
      <c r="O316" s="13" t="str">
        <f t="shared" si="63"/>
        <v>COINCIDE</v>
      </c>
      <c r="P316" s="47" t="s">
        <v>284</v>
      </c>
      <c r="Q316" s="13" t="s">
        <v>22</v>
      </c>
      <c r="R316" s="13" t="s">
        <v>23</v>
      </c>
      <c r="S316" s="6"/>
      <c r="T316" s="6"/>
      <c r="U316" s="6"/>
      <c r="V316" s="6"/>
      <c r="W316" s="6"/>
      <c r="X316" s="6"/>
      <c r="Y316" s="6"/>
    </row>
    <row r="317" spans="1:25" ht="15.75" customHeight="1">
      <c r="A317" s="11" t="s">
        <v>18</v>
      </c>
      <c r="B317" s="11">
        <v>700052400</v>
      </c>
      <c r="C317" s="11">
        <v>7000306</v>
      </c>
      <c r="D317" s="11">
        <v>5407</v>
      </c>
      <c r="E317" s="11">
        <v>-68.548900200000006</v>
      </c>
      <c r="F317" s="11">
        <v>-31.551978699999999</v>
      </c>
      <c r="G317" s="11" t="s">
        <v>294</v>
      </c>
      <c r="H317" s="11" t="s">
        <v>20</v>
      </c>
      <c r="I317" s="37">
        <v>2.81</v>
      </c>
      <c r="J317" s="11">
        <f t="shared" si="43"/>
        <v>1</v>
      </c>
      <c r="K317" s="38">
        <v>4</v>
      </c>
      <c r="L317" s="11">
        <f t="shared" si="44"/>
        <v>1</v>
      </c>
      <c r="M317" s="39">
        <v>6.9444444444444441E-3</v>
      </c>
      <c r="N317" s="37">
        <v>2</v>
      </c>
      <c r="O317" s="11" t="str">
        <f t="shared" ref="O317:O318" si="64">IF(AVERAGE(J317,L317)=N317,"COINCIDE",IF(L317=N317,"INCONGRUENTE",IF(N317=7,"COINCIDE","DISTINTO")))</f>
        <v>DISTINTO</v>
      </c>
      <c r="P317" s="40" t="s">
        <v>284</v>
      </c>
      <c r="Q317" s="11" t="s">
        <v>22</v>
      </c>
      <c r="R317" s="11" t="s">
        <v>23</v>
      </c>
      <c r="S317" s="6"/>
      <c r="T317" s="6"/>
      <c r="U317" s="6"/>
      <c r="V317" s="6"/>
      <c r="W317" s="6"/>
      <c r="X317" s="6"/>
      <c r="Y317" s="6"/>
    </row>
    <row r="318" spans="1:25" ht="15.75" customHeight="1">
      <c r="A318" s="11" t="s">
        <v>18</v>
      </c>
      <c r="B318" s="11">
        <v>700028600</v>
      </c>
      <c r="C318" s="11">
        <v>7000309</v>
      </c>
      <c r="D318" s="11">
        <v>5407</v>
      </c>
      <c r="E318" s="11">
        <v>-68.617167600000002</v>
      </c>
      <c r="F318" s="11">
        <v>-31.539965200000001</v>
      </c>
      <c r="G318" s="11" t="s">
        <v>295</v>
      </c>
      <c r="H318" s="11" t="s">
        <v>20</v>
      </c>
      <c r="I318" s="37">
        <v>8.75</v>
      </c>
      <c r="J318" s="11">
        <f t="shared" si="43"/>
        <v>2</v>
      </c>
      <c r="K318" s="38">
        <v>9</v>
      </c>
      <c r="L318" s="11">
        <f t="shared" si="44"/>
        <v>2</v>
      </c>
      <c r="M318" s="39">
        <v>1.3888888888888888E-2</v>
      </c>
      <c r="N318" s="37">
        <v>3</v>
      </c>
      <c r="O318" s="11" t="str">
        <f t="shared" si="64"/>
        <v>DISTINTO</v>
      </c>
      <c r="P318" s="40" t="s">
        <v>284</v>
      </c>
      <c r="Q318" s="11" t="s">
        <v>22</v>
      </c>
      <c r="R318" s="11" t="s">
        <v>23</v>
      </c>
      <c r="S318" s="6"/>
      <c r="T318" s="6"/>
      <c r="U318" s="6"/>
      <c r="V318" s="6"/>
      <c r="W318" s="6"/>
      <c r="X318" s="6"/>
      <c r="Y318" s="6"/>
    </row>
    <row r="319" spans="1:25" ht="15.75" customHeight="1">
      <c r="A319" s="7" t="s">
        <v>18</v>
      </c>
      <c r="B319" s="7">
        <v>700053101</v>
      </c>
      <c r="C319" s="7">
        <v>7000311</v>
      </c>
      <c r="D319" s="7">
        <v>5407</v>
      </c>
      <c r="E319" s="7">
        <v>-68.618821999999994</v>
      </c>
      <c r="F319" s="7">
        <v>-31.548244700000001</v>
      </c>
      <c r="G319" s="7" t="s">
        <v>295</v>
      </c>
      <c r="H319" s="7" t="s">
        <v>20</v>
      </c>
      <c r="I319" s="48">
        <v>8.93</v>
      </c>
      <c r="J319" s="35">
        <f t="shared" si="43"/>
        <v>2</v>
      </c>
      <c r="K319" s="49">
        <v>11</v>
      </c>
      <c r="L319" s="35">
        <f t="shared" si="44"/>
        <v>3</v>
      </c>
      <c r="M319" s="50">
        <v>1.5972222222222224E-2</v>
      </c>
      <c r="N319" s="48">
        <v>3</v>
      </c>
      <c r="O319" s="35" t="str">
        <f t="shared" ref="O319:O322" si="65">IF(AVERAGE(J319,L319)=N319,"COINCIDE",IF(L319=N319,"INCONGRUENTE","DISTINTO"))</f>
        <v>INCONGRUENTE</v>
      </c>
      <c r="P319" s="51" t="s">
        <v>284</v>
      </c>
      <c r="Q319" s="7" t="s">
        <v>22</v>
      </c>
      <c r="R319" s="7" t="s">
        <v>23</v>
      </c>
      <c r="S319" s="6"/>
      <c r="T319" s="6"/>
      <c r="U319" s="6"/>
      <c r="V319" s="6"/>
      <c r="W319" s="6"/>
      <c r="X319" s="6"/>
      <c r="Y319" s="6"/>
    </row>
    <row r="320" spans="1:25" ht="15.75" customHeight="1">
      <c r="A320" s="13" t="s">
        <v>18</v>
      </c>
      <c r="B320" s="13">
        <v>700012300</v>
      </c>
      <c r="C320" s="13">
        <v>7000312</v>
      </c>
      <c r="D320" s="13">
        <v>5407</v>
      </c>
      <c r="E320" s="13">
        <v>-68.630071299999997</v>
      </c>
      <c r="F320" s="13">
        <v>-31.523757</v>
      </c>
      <c r="G320" s="13" t="s">
        <v>296</v>
      </c>
      <c r="H320" s="13" t="s">
        <v>20</v>
      </c>
      <c r="I320" s="41">
        <v>10.1</v>
      </c>
      <c r="J320" s="13">
        <f t="shared" si="43"/>
        <v>3</v>
      </c>
      <c r="K320" s="42">
        <v>11</v>
      </c>
      <c r="L320" s="13">
        <f t="shared" si="44"/>
        <v>3</v>
      </c>
      <c r="M320" s="46">
        <v>1.5277777777777777E-2</v>
      </c>
      <c r="N320" s="41">
        <v>3</v>
      </c>
      <c r="O320" s="13" t="str">
        <f t="shared" si="65"/>
        <v>COINCIDE</v>
      </c>
      <c r="P320" s="47" t="s">
        <v>284</v>
      </c>
      <c r="Q320" s="13" t="s">
        <v>22</v>
      </c>
      <c r="R320" s="13" t="s">
        <v>23</v>
      </c>
      <c r="S320" s="6"/>
      <c r="T320" s="6"/>
      <c r="U320" s="6"/>
      <c r="V320" s="6"/>
      <c r="W320" s="6"/>
      <c r="X320" s="6"/>
      <c r="Y320" s="6"/>
    </row>
    <row r="321" spans="1:25" ht="15.75" customHeight="1">
      <c r="A321" s="13" t="s">
        <v>18</v>
      </c>
      <c r="B321" s="13">
        <v>700053000</v>
      </c>
      <c r="C321" s="13">
        <v>7000315</v>
      </c>
      <c r="D321" s="13">
        <v>5407</v>
      </c>
      <c r="E321" s="13">
        <v>-68.566788700000004</v>
      </c>
      <c r="F321" s="13">
        <v>-31.553355400000001</v>
      </c>
      <c r="G321" s="13" t="s">
        <v>297</v>
      </c>
      <c r="H321" s="13" t="s">
        <v>20</v>
      </c>
      <c r="I321" s="41">
        <v>4.3600000000000003</v>
      </c>
      <c r="J321" s="13">
        <f t="shared" si="43"/>
        <v>2</v>
      </c>
      <c r="K321" s="42">
        <v>6</v>
      </c>
      <c r="L321" s="13">
        <f t="shared" si="44"/>
        <v>2</v>
      </c>
      <c r="M321" s="46">
        <v>9.7222222222222224E-3</v>
      </c>
      <c r="N321" s="41">
        <v>2</v>
      </c>
      <c r="O321" s="13" t="str">
        <f t="shared" si="65"/>
        <v>COINCIDE</v>
      </c>
      <c r="P321" s="47" t="s">
        <v>284</v>
      </c>
      <c r="Q321" s="13" t="s">
        <v>22</v>
      </c>
      <c r="R321" s="13" t="s">
        <v>23</v>
      </c>
      <c r="S321" s="6"/>
      <c r="T321" s="6"/>
      <c r="U321" s="6"/>
      <c r="V321" s="6"/>
      <c r="W321" s="6"/>
      <c r="X321" s="6"/>
      <c r="Y321" s="6"/>
    </row>
    <row r="322" spans="1:25" ht="15.75" customHeight="1">
      <c r="A322" s="13" t="s">
        <v>18</v>
      </c>
      <c r="B322" s="13">
        <v>700001500</v>
      </c>
      <c r="C322" s="13">
        <v>7000317</v>
      </c>
      <c r="D322" s="13">
        <v>5407</v>
      </c>
      <c r="E322" s="13">
        <v>-68.600528600000004</v>
      </c>
      <c r="F322" s="13">
        <v>-31.5326874</v>
      </c>
      <c r="G322" s="13" t="s">
        <v>298</v>
      </c>
      <c r="H322" s="13" t="s">
        <v>20</v>
      </c>
      <c r="I322" s="41">
        <v>7.18</v>
      </c>
      <c r="J322" s="13">
        <f t="shared" si="43"/>
        <v>2</v>
      </c>
      <c r="K322" s="42">
        <v>8</v>
      </c>
      <c r="L322" s="24">
        <f t="shared" si="44"/>
        <v>2</v>
      </c>
      <c r="M322" s="46">
        <v>1.3194444444444444E-2</v>
      </c>
      <c r="N322" s="41">
        <v>2</v>
      </c>
      <c r="O322" s="13" t="str">
        <f t="shared" si="65"/>
        <v>COINCIDE</v>
      </c>
      <c r="P322" s="47" t="s">
        <v>284</v>
      </c>
      <c r="Q322" s="13" t="s">
        <v>22</v>
      </c>
      <c r="R322" s="13" t="s">
        <v>23</v>
      </c>
      <c r="S322" s="6"/>
      <c r="T322" s="6"/>
      <c r="U322" s="6"/>
      <c r="V322" s="6"/>
      <c r="W322" s="6"/>
      <c r="X322" s="6"/>
      <c r="Y322" s="6"/>
    </row>
    <row r="323" spans="1:25" ht="15.75" customHeight="1">
      <c r="A323" s="13" t="s">
        <v>18</v>
      </c>
      <c r="B323" s="13">
        <v>700009200</v>
      </c>
      <c r="C323" s="13">
        <v>7000144</v>
      </c>
      <c r="D323" s="13">
        <v>5442</v>
      </c>
      <c r="E323" s="13">
        <v>-68.236563200000006</v>
      </c>
      <c r="F323" s="13">
        <v>-31.6409971</v>
      </c>
      <c r="G323" s="13" t="s">
        <v>228</v>
      </c>
      <c r="H323" s="13" t="s">
        <v>222</v>
      </c>
      <c r="I323" s="13">
        <v>4.49</v>
      </c>
      <c r="J323" s="13">
        <f t="shared" ref="J323:J324" si="66">IF(I323&lt;=2,3,IF(I323&lt;=40,4,IF(I323&lt;=80,5,6)))</f>
        <v>4</v>
      </c>
      <c r="K323" s="13">
        <v>6</v>
      </c>
      <c r="L323" s="13">
        <f t="shared" ref="L323:L324" si="67">IF(K323&lt;=2,3,IF(K323&lt;=40,4,IF(K323&lt;=80,5,6)))</f>
        <v>4</v>
      </c>
      <c r="M323" s="14">
        <v>6.2499999999999995E-3</v>
      </c>
      <c r="N323" s="13">
        <v>4</v>
      </c>
      <c r="O323" s="13" t="str">
        <f t="shared" ref="O323:O324" si="68">IF(AVERAGE(J323,L323)=N323,"COINCIDE",IF(L323=N323,"INCONGRUENTE",IF(N323=7,"COINCIDE","DISTINTO")))</f>
        <v>COINCIDE</v>
      </c>
      <c r="P323" s="13" t="s">
        <v>221</v>
      </c>
      <c r="Q323" s="13" t="s">
        <v>22</v>
      </c>
      <c r="R323" s="13" t="s">
        <v>23</v>
      </c>
      <c r="S323" s="6"/>
      <c r="T323" s="6"/>
      <c r="U323" s="6"/>
      <c r="V323" s="6"/>
      <c r="W323" s="6"/>
      <c r="X323" s="6"/>
      <c r="Y323" s="6"/>
    </row>
    <row r="324" spans="1:25" ht="15.75" customHeight="1">
      <c r="A324" s="11" t="s">
        <v>18</v>
      </c>
      <c r="B324" s="11">
        <v>700055600</v>
      </c>
      <c r="C324" s="11">
        <v>7000145</v>
      </c>
      <c r="D324" s="11">
        <v>5442</v>
      </c>
      <c r="E324" s="11">
        <v>-68.292555399999998</v>
      </c>
      <c r="F324" s="11">
        <v>-31.667785500000001</v>
      </c>
      <c r="G324" s="11" t="s">
        <v>299</v>
      </c>
      <c r="H324" s="11" t="s">
        <v>222</v>
      </c>
      <c r="I324" s="11">
        <v>2.11</v>
      </c>
      <c r="J324" s="11">
        <f t="shared" si="66"/>
        <v>4</v>
      </c>
      <c r="K324" s="11">
        <v>2</v>
      </c>
      <c r="L324" s="11">
        <f t="shared" si="67"/>
        <v>3</v>
      </c>
      <c r="M324" s="12">
        <v>2.7777777777777779E-3</v>
      </c>
      <c r="N324" s="11">
        <v>4</v>
      </c>
      <c r="O324" s="11" t="str">
        <f t="shared" si="68"/>
        <v>DISTINTO</v>
      </c>
      <c r="P324" s="11" t="s">
        <v>221</v>
      </c>
      <c r="Q324" s="11" t="s">
        <v>22</v>
      </c>
      <c r="R324" s="11" t="s">
        <v>23</v>
      </c>
      <c r="S324" s="6"/>
      <c r="T324" s="6"/>
      <c r="U324" s="6"/>
      <c r="V324" s="6"/>
      <c r="W324" s="6"/>
      <c r="X324" s="6"/>
      <c r="Y324" s="6"/>
    </row>
    <row r="325" spans="1:25" ht="15.75" customHeight="1">
      <c r="A325" s="27" t="s">
        <v>42</v>
      </c>
      <c r="B325" s="27">
        <v>700050700</v>
      </c>
      <c r="C325" s="27">
        <v>7000365</v>
      </c>
      <c r="D325" s="27">
        <v>5407</v>
      </c>
      <c r="E325" s="27">
        <v>-68.566328999999996</v>
      </c>
      <c r="F325" s="27">
        <v>-31.515790200000001</v>
      </c>
      <c r="G325" s="27" t="s">
        <v>291</v>
      </c>
      <c r="H325" s="27" t="s">
        <v>20</v>
      </c>
      <c r="I325" s="52">
        <v>4.5199999999999996</v>
      </c>
      <c r="J325" s="27">
        <f t="shared" ref="J325:J332" si="69">IF(I325&lt;=4,1,IF(I325&lt;=10,2,IF(I325&lt;=20,3,IF(I325&lt;=40,4,IF(I325&lt;=80,5,6)))))</f>
        <v>2</v>
      </c>
      <c r="K325" s="53">
        <v>6</v>
      </c>
      <c r="L325" s="27">
        <f t="shared" ref="L325:L332" si="70">IF(K325&lt;=4,1,IF(K325&lt;=10,2,IF(K325&lt;=20,3,IF(K325&lt;=40,4,IF(K325&lt;=80,5,6)))))</f>
        <v>2</v>
      </c>
      <c r="M325" s="54">
        <v>9.0277777777777787E-3</v>
      </c>
      <c r="N325" s="52">
        <v>2</v>
      </c>
      <c r="O325" s="27" t="str">
        <f t="shared" ref="O325:O326" si="71">IF(AVERAGE(J325,L325)=N325,"COINCIDE",IF(L325=N325,"INCONGRUENTE","DISTINTO"))</f>
        <v>COINCIDE</v>
      </c>
      <c r="P325" s="55" t="s">
        <v>284</v>
      </c>
      <c r="Q325" s="27" t="s">
        <v>22</v>
      </c>
      <c r="R325" s="27" t="s">
        <v>300</v>
      </c>
      <c r="S325" s="6"/>
      <c r="T325" s="6"/>
      <c r="U325" s="6"/>
      <c r="V325" s="6"/>
      <c r="W325" s="6"/>
      <c r="X325" s="6"/>
      <c r="Y325" s="6"/>
    </row>
    <row r="326" spans="1:25" ht="15.75" customHeight="1">
      <c r="A326" s="13" t="s">
        <v>18</v>
      </c>
      <c r="B326" s="13">
        <v>700012500</v>
      </c>
      <c r="C326" s="13">
        <v>7050105</v>
      </c>
      <c r="D326" s="13">
        <v>5407</v>
      </c>
      <c r="E326" s="13">
        <v>-68.631413800000004</v>
      </c>
      <c r="F326" s="13">
        <v>-31.525942799999999</v>
      </c>
      <c r="G326" s="13" t="s">
        <v>296</v>
      </c>
      <c r="H326" s="13" t="s">
        <v>20</v>
      </c>
      <c r="I326" s="41">
        <v>10.199999999999999</v>
      </c>
      <c r="J326" s="13">
        <f t="shared" si="69"/>
        <v>3</v>
      </c>
      <c r="K326" s="42">
        <v>11</v>
      </c>
      <c r="L326" s="13">
        <f t="shared" si="70"/>
        <v>3</v>
      </c>
      <c r="M326" s="46">
        <v>1.5277777777777777E-2</v>
      </c>
      <c r="N326" s="41">
        <v>3</v>
      </c>
      <c r="O326" s="13" t="str">
        <f t="shared" si="71"/>
        <v>COINCIDE</v>
      </c>
      <c r="P326" s="47" t="s">
        <v>284</v>
      </c>
      <c r="Q326" s="13" t="s">
        <v>22</v>
      </c>
      <c r="R326" s="13" t="s">
        <v>23</v>
      </c>
      <c r="S326" s="6"/>
      <c r="T326" s="6"/>
      <c r="U326" s="6"/>
      <c r="V326" s="6"/>
      <c r="W326" s="6"/>
      <c r="X326" s="6"/>
      <c r="Y326" s="6"/>
    </row>
    <row r="327" spans="1:25" ht="15.75" customHeight="1">
      <c r="A327" s="11" t="s">
        <v>18</v>
      </c>
      <c r="B327" s="11">
        <v>700053100</v>
      </c>
      <c r="C327" s="11">
        <v>7050376</v>
      </c>
      <c r="D327" s="11">
        <v>5407</v>
      </c>
      <c r="E327" s="11">
        <v>-68.611250100000007</v>
      </c>
      <c r="F327" s="11">
        <v>-31.554314300000001</v>
      </c>
      <c r="G327" s="11" t="s">
        <v>295</v>
      </c>
      <c r="H327" s="11" t="s">
        <v>20</v>
      </c>
      <c r="I327" s="37">
        <v>8.34</v>
      </c>
      <c r="J327" s="11">
        <f t="shared" si="69"/>
        <v>2</v>
      </c>
      <c r="K327" s="38">
        <v>10</v>
      </c>
      <c r="L327" s="11">
        <f t="shared" si="70"/>
        <v>2</v>
      </c>
      <c r="M327" s="39">
        <v>1.5277777777777777E-2</v>
      </c>
      <c r="N327" s="37">
        <v>3</v>
      </c>
      <c r="O327" s="11" t="str">
        <f>IF(AVERAGE(J327,L327)=N327,"COINCIDE",IF(L327=N327,"INCONGRUENTE",IF(N327=7,"COINCIDE","DISTINTO")))</f>
        <v>DISTINTO</v>
      </c>
      <c r="P327" s="40" t="s">
        <v>284</v>
      </c>
      <c r="Q327" s="11" t="s">
        <v>22</v>
      </c>
      <c r="R327" s="11" t="s">
        <v>23</v>
      </c>
      <c r="S327" s="6"/>
      <c r="T327" s="6"/>
      <c r="U327" s="6"/>
      <c r="V327" s="6"/>
      <c r="W327" s="6"/>
      <c r="X327" s="6"/>
      <c r="Y327" s="6"/>
    </row>
    <row r="328" spans="1:25" ht="15.75" customHeight="1">
      <c r="A328" s="13" t="s">
        <v>139</v>
      </c>
      <c r="B328" s="13">
        <v>700060301</v>
      </c>
      <c r="C328" s="13">
        <v>7050423</v>
      </c>
      <c r="D328" s="13">
        <v>5407</v>
      </c>
      <c r="E328" s="13">
        <v>-68.596167399999999</v>
      </c>
      <c r="F328" s="13">
        <v>-31.5301118</v>
      </c>
      <c r="G328" s="13" t="s">
        <v>301</v>
      </c>
      <c r="H328" s="13" t="s">
        <v>20</v>
      </c>
      <c r="I328" s="41">
        <v>6.77</v>
      </c>
      <c r="J328" s="13">
        <f t="shared" si="69"/>
        <v>2</v>
      </c>
      <c r="K328" s="42">
        <v>7</v>
      </c>
      <c r="L328" s="13">
        <f t="shared" si="70"/>
        <v>2</v>
      </c>
      <c r="M328" s="47" t="s">
        <v>302</v>
      </c>
      <c r="N328" s="41">
        <v>2</v>
      </c>
      <c r="O328" s="13" t="str">
        <f t="shared" ref="O328:O330" si="72">IF(AVERAGE(J328,L328)=N328,"COINCIDE",IF(L328=N328,"INCONGRUENTE","DISTINTO"))</f>
        <v>COINCIDE</v>
      </c>
      <c r="P328" s="47" t="s">
        <v>284</v>
      </c>
      <c r="Q328" s="13" t="s">
        <v>22</v>
      </c>
      <c r="R328" s="13" t="s">
        <v>23</v>
      </c>
      <c r="S328" s="6"/>
      <c r="T328" s="6"/>
      <c r="U328" s="6"/>
      <c r="V328" s="6"/>
      <c r="W328" s="6"/>
      <c r="X328" s="6"/>
      <c r="Y328" s="6"/>
    </row>
    <row r="329" spans="1:25" ht="15.75" customHeight="1">
      <c r="A329" s="13" t="s">
        <v>303</v>
      </c>
      <c r="B329" s="13">
        <v>700028000</v>
      </c>
      <c r="C329" s="13">
        <v>7050439</v>
      </c>
      <c r="D329" s="13">
        <v>5407</v>
      </c>
      <c r="E329" s="13">
        <v>-68.598083599999995</v>
      </c>
      <c r="F329" s="13">
        <v>-31.5167343</v>
      </c>
      <c r="G329" s="13" t="s">
        <v>296</v>
      </c>
      <c r="H329" s="13" t="s">
        <v>20</v>
      </c>
      <c r="I329" s="41">
        <v>7.29</v>
      </c>
      <c r="J329" s="13">
        <f t="shared" si="69"/>
        <v>2</v>
      </c>
      <c r="K329" s="42">
        <v>9</v>
      </c>
      <c r="L329" s="13">
        <f t="shared" si="70"/>
        <v>2</v>
      </c>
      <c r="M329" s="46">
        <v>1.3194444444444444E-2</v>
      </c>
      <c r="N329" s="41">
        <v>2</v>
      </c>
      <c r="O329" s="13" t="str">
        <f t="shared" si="72"/>
        <v>COINCIDE</v>
      </c>
      <c r="P329" s="47" t="s">
        <v>284</v>
      </c>
      <c r="Q329" s="13" t="s">
        <v>22</v>
      </c>
      <c r="R329" s="13" t="s">
        <v>304</v>
      </c>
      <c r="S329" s="6"/>
      <c r="T329" s="6"/>
      <c r="U329" s="6"/>
      <c r="V329" s="6"/>
      <c r="W329" s="6"/>
      <c r="X329" s="6"/>
      <c r="Y329" s="6"/>
    </row>
    <row r="330" spans="1:25" ht="15.75" customHeight="1">
      <c r="A330" s="13" t="s">
        <v>62</v>
      </c>
      <c r="B330" s="13">
        <v>700075000</v>
      </c>
      <c r="C330" s="13">
        <v>7100076</v>
      </c>
      <c r="D330" s="13">
        <v>5407</v>
      </c>
      <c r="E330" s="13">
        <v>-68.564568100000002</v>
      </c>
      <c r="F330" s="13">
        <v>-31.5152672</v>
      </c>
      <c r="G330" s="13" t="s">
        <v>284</v>
      </c>
      <c r="H330" s="13" t="s">
        <v>20</v>
      </c>
      <c r="I330" s="41">
        <v>4.45</v>
      </c>
      <c r="J330" s="13">
        <f t="shared" si="69"/>
        <v>2</v>
      </c>
      <c r="K330" s="42">
        <v>6</v>
      </c>
      <c r="L330" s="13">
        <f t="shared" si="70"/>
        <v>2</v>
      </c>
      <c r="M330" s="46">
        <v>8.3333333333333332E-3</v>
      </c>
      <c r="N330" s="41">
        <v>2</v>
      </c>
      <c r="O330" s="13" t="str">
        <f t="shared" si="72"/>
        <v>COINCIDE</v>
      </c>
      <c r="P330" s="47" t="s">
        <v>284</v>
      </c>
      <c r="Q330" s="13" t="s">
        <v>22</v>
      </c>
      <c r="R330" s="13" t="s">
        <v>23</v>
      </c>
      <c r="S330" s="6"/>
      <c r="T330" s="6"/>
      <c r="U330" s="6"/>
      <c r="V330" s="6"/>
      <c r="W330" s="6"/>
      <c r="X330" s="6"/>
      <c r="Y330" s="6"/>
    </row>
    <row r="331" spans="1:25" ht="15" customHeight="1">
      <c r="A331" s="11" t="s">
        <v>62</v>
      </c>
      <c r="B331" s="11">
        <v>700001400</v>
      </c>
      <c r="C331" s="11" t="s">
        <v>305</v>
      </c>
      <c r="D331" s="11">
        <v>5407</v>
      </c>
      <c r="E331" s="11">
        <v>-68.629809399999999</v>
      </c>
      <c r="F331" s="11">
        <v>-31.539368400000001</v>
      </c>
      <c r="G331" s="11" t="s">
        <v>295</v>
      </c>
      <c r="H331" s="11" t="s">
        <v>20</v>
      </c>
      <c r="I331" s="37">
        <v>9.86</v>
      </c>
      <c r="J331" s="11">
        <f t="shared" si="69"/>
        <v>2</v>
      </c>
      <c r="K331" s="38">
        <v>10</v>
      </c>
      <c r="L331" s="11">
        <f t="shared" si="70"/>
        <v>2</v>
      </c>
      <c r="M331" s="39">
        <v>1.5277777777777777E-2</v>
      </c>
      <c r="N331" s="37">
        <v>3</v>
      </c>
      <c r="O331" s="11" t="str">
        <f t="shared" ref="O331:O333" si="73">IF(AVERAGE(J331,L331)=N331,"COINCIDE",IF(L331=N331,"INCONGRUENTE",IF(N331=7,"COINCIDE","DISTINTO")))</f>
        <v>DISTINTO</v>
      </c>
      <c r="P331" s="40" t="s">
        <v>284</v>
      </c>
      <c r="Q331" s="11" t="s">
        <v>22</v>
      </c>
      <c r="R331" s="11" t="s">
        <v>23</v>
      </c>
      <c r="S331" s="6"/>
      <c r="T331" s="6"/>
      <c r="U331" s="6"/>
      <c r="V331" s="6"/>
      <c r="W331" s="6"/>
      <c r="X331" s="6"/>
      <c r="Y331" s="6"/>
    </row>
    <row r="332" spans="1:25" ht="15.75" customHeight="1">
      <c r="A332" s="11" t="s">
        <v>42</v>
      </c>
      <c r="B332" s="11">
        <v>700086700</v>
      </c>
      <c r="C332" s="11" t="s">
        <v>306</v>
      </c>
      <c r="D332" s="11">
        <v>5407</v>
      </c>
      <c r="E332" s="11">
        <v>-68.6168452</v>
      </c>
      <c r="F332" s="11">
        <v>-31.514162200000001</v>
      </c>
      <c r="G332" s="11" t="s">
        <v>307</v>
      </c>
      <c r="H332" s="11" t="s">
        <v>20</v>
      </c>
      <c r="I332" s="37">
        <v>9.0399999999999991</v>
      </c>
      <c r="J332" s="11">
        <f t="shared" si="69"/>
        <v>2</v>
      </c>
      <c r="K332" s="38">
        <v>10</v>
      </c>
      <c r="L332" s="11">
        <f t="shared" si="70"/>
        <v>2</v>
      </c>
      <c r="M332" s="39">
        <v>1.4583333333333332E-2</v>
      </c>
      <c r="N332" s="37">
        <v>3</v>
      </c>
      <c r="O332" s="11" t="str">
        <f t="shared" si="73"/>
        <v>DISTINTO</v>
      </c>
      <c r="P332" s="40" t="s">
        <v>284</v>
      </c>
      <c r="Q332" s="11" t="s">
        <v>22</v>
      </c>
      <c r="R332" s="11" t="s">
        <v>23</v>
      </c>
      <c r="S332" s="6"/>
      <c r="T332" s="6"/>
      <c r="U332" s="6"/>
      <c r="V332" s="6"/>
      <c r="W332" s="6"/>
      <c r="X332" s="6"/>
      <c r="Y332" s="6"/>
    </row>
    <row r="333" spans="1:25" ht="15.75" customHeight="1">
      <c r="A333" s="13" t="s">
        <v>18</v>
      </c>
      <c r="B333" s="13">
        <v>700056800</v>
      </c>
      <c r="C333" s="13">
        <v>7000146</v>
      </c>
      <c r="D333" s="13">
        <v>5442</v>
      </c>
      <c r="E333" s="13">
        <v>-67.352241599999999</v>
      </c>
      <c r="F333" s="13">
        <v>-31.461101800000002</v>
      </c>
      <c r="G333" s="13" t="s">
        <v>308</v>
      </c>
      <c r="H333" s="13" t="s">
        <v>222</v>
      </c>
      <c r="I333" s="13">
        <v>90.8</v>
      </c>
      <c r="J333" s="13">
        <f>IF(I333&lt;=2,3,IF(I333&lt;=40,4,IF(I333&lt;=80,5,6)))</f>
        <v>6</v>
      </c>
      <c r="K333" s="13">
        <v>111</v>
      </c>
      <c r="L333" s="13">
        <f>IF(K333&lt;=2,3,IF(K333&lt;=40,4,IF(K333&lt;=80,5,6)))</f>
        <v>6</v>
      </c>
      <c r="M333" s="14">
        <v>5.9722222222222225E-2</v>
      </c>
      <c r="N333" s="13">
        <v>7</v>
      </c>
      <c r="O333" s="13" t="str">
        <f t="shared" si="73"/>
        <v>COINCIDE</v>
      </c>
      <c r="P333" s="13" t="s">
        <v>221</v>
      </c>
      <c r="Q333" s="13" t="s">
        <v>22</v>
      </c>
      <c r="R333" s="13" t="s">
        <v>23</v>
      </c>
      <c r="S333" s="6"/>
      <c r="T333" s="6"/>
      <c r="U333" s="6"/>
      <c r="V333" s="6"/>
      <c r="W333" s="6"/>
      <c r="X333" s="6"/>
      <c r="Y333" s="6"/>
    </row>
    <row r="334" spans="1:25" ht="15.75" customHeight="1">
      <c r="A334" s="13" t="s">
        <v>64</v>
      </c>
      <c r="B334" s="13">
        <v>700080000</v>
      </c>
      <c r="C334" s="13" t="s">
        <v>309</v>
      </c>
      <c r="D334" s="13">
        <v>5407</v>
      </c>
      <c r="E334" s="13">
        <v>-68.600636699999995</v>
      </c>
      <c r="F334" s="13">
        <v>-31.534991099999999</v>
      </c>
      <c r="G334" s="13" t="s">
        <v>310</v>
      </c>
      <c r="H334" s="13" t="s">
        <v>20</v>
      </c>
      <c r="I334" s="41">
        <v>7.18</v>
      </c>
      <c r="J334" s="13">
        <f t="shared" ref="J334:J351" si="74">IF(I334&lt;=4,1,IF(I334&lt;=10,2,IF(I334&lt;=20,3,IF(I334&lt;=40,4,IF(I334&lt;=80,5,6)))))</f>
        <v>2</v>
      </c>
      <c r="K334" s="42">
        <v>7</v>
      </c>
      <c r="L334" s="13">
        <f t="shared" ref="L334:L351" si="75">IF(K334&lt;=4,1,IF(K334&lt;=10,2,IF(K334&lt;=20,3,IF(K334&lt;=40,4,IF(K334&lt;=80,5,6)))))</f>
        <v>2</v>
      </c>
      <c r="M334" s="46">
        <v>1.2499999999999999E-2</v>
      </c>
      <c r="N334" s="41">
        <v>2</v>
      </c>
      <c r="O334" s="13" t="str">
        <f t="shared" ref="O334:O335" si="76">IF(AVERAGE(J334,L334)=N334,"COINCIDE",IF(L334=N334,"INCONGRUENTE","DISTINTO"))</f>
        <v>COINCIDE</v>
      </c>
      <c r="P334" s="47" t="s">
        <v>284</v>
      </c>
      <c r="Q334" s="13" t="s">
        <v>22</v>
      </c>
      <c r="R334" s="13" t="s">
        <v>23</v>
      </c>
      <c r="S334" s="6"/>
      <c r="T334" s="6"/>
      <c r="U334" s="6"/>
      <c r="V334" s="6"/>
      <c r="W334" s="6"/>
      <c r="X334" s="6"/>
      <c r="Y334" s="6"/>
    </row>
    <row r="335" spans="1:25" ht="15.75" customHeight="1">
      <c r="A335" s="13" t="s">
        <v>18</v>
      </c>
      <c r="B335" s="13">
        <v>700088900</v>
      </c>
      <c r="C335" s="13" t="s">
        <v>311</v>
      </c>
      <c r="D335" s="13">
        <v>5407</v>
      </c>
      <c r="E335" s="13">
        <v>-68.590102400000006</v>
      </c>
      <c r="F335" s="13">
        <v>-31.548921799999999</v>
      </c>
      <c r="G335" s="13" t="s">
        <v>312</v>
      </c>
      <c r="H335" s="13" t="s">
        <v>20</v>
      </c>
      <c r="I335" s="41">
        <v>6.27</v>
      </c>
      <c r="J335" s="13">
        <f t="shared" si="74"/>
        <v>2</v>
      </c>
      <c r="K335" s="42">
        <v>7</v>
      </c>
      <c r="L335" s="13">
        <f t="shared" si="75"/>
        <v>2</v>
      </c>
      <c r="M335" s="46">
        <v>1.1805555555555555E-2</v>
      </c>
      <c r="N335" s="41">
        <v>2</v>
      </c>
      <c r="O335" s="13" t="str">
        <f t="shared" si="76"/>
        <v>COINCIDE</v>
      </c>
      <c r="P335" s="47" t="s">
        <v>284</v>
      </c>
      <c r="Q335" s="13" t="s">
        <v>22</v>
      </c>
      <c r="R335" s="13" t="s">
        <v>23</v>
      </c>
      <c r="S335" s="6"/>
      <c r="T335" s="6"/>
      <c r="U335" s="6"/>
      <c r="V335" s="6"/>
      <c r="W335" s="6"/>
      <c r="X335" s="6"/>
      <c r="Y335" s="6"/>
    </row>
    <row r="336" spans="1:25" ht="15.75" customHeight="1">
      <c r="A336" s="11" t="s">
        <v>18</v>
      </c>
      <c r="B336" s="11">
        <v>700090100</v>
      </c>
      <c r="C336" s="11" t="s">
        <v>313</v>
      </c>
      <c r="D336" s="11">
        <v>5407</v>
      </c>
      <c r="E336" s="11">
        <v>-68.625517000000002</v>
      </c>
      <c r="F336" s="11">
        <v>-31.546588700000001</v>
      </c>
      <c r="G336" s="11" t="s">
        <v>314</v>
      </c>
      <c r="H336" s="11" t="s">
        <v>20</v>
      </c>
      <c r="I336" s="37">
        <v>9.59</v>
      </c>
      <c r="J336" s="11">
        <f t="shared" si="74"/>
        <v>2</v>
      </c>
      <c r="K336" s="38">
        <v>10</v>
      </c>
      <c r="L336" s="11">
        <f t="shared" si="75"/>
        <v>2</v>
      </c>
      <c r="M336" s="39">
        <v>1.5972222222222224E-2</v>
      </c>
      <c r="N336" s="37">
        <v>3</v>
      </c>
      <c r="O336" s="11" t="str">
        <f>IF(AVERAGE(J336,L336)=N336,"COINCIDE",IF(L336=N336,"INCONGRUENTE",IF(N336=7,"COINCIDE","DISTINTO")))</f>
        <v>DISTINTO</v>
      </c>
      <c r="P336" s="40" t="s">
        <v>284</v>
      </c>
      <c r="Q336" s="11" t="s">
        <v>22</v>
      </c>
      <c r="R336" s="11" t="s">
        <v>23</v>
      </c>
      <c r="S336" s="6"/>
      <c r="T336" s="6"/>
      <c r="U336" s="6"/>
      <c r="V336" s="6"/>
      <c r="W336" s="6"/>
      <c r="X336" s="6"/>
      <c r="Y336" s="6"/>
    </row>
    <row r="337" spans="1:25" ht="16.5" customHeight="1">
      <c r="A337" s="56" t="s">
        <v>136</v>
      </c>
      <c r="B337" s="56">
        <v>700114400</v>
      </c>
      <c r="C337" s="56" t="s">
        <v>315</v>
      </c>
      <c r="D337" s="56">
        <v>5407</v>
      </c>
      <c r="E337" s="56">
        <v>-68.619853300000003</v>
      </c>
      <c r="F337" s="56">
        <v>-31.510537599999999</v>
      </c>
      <c r="G337" s="57" t="s">
        <v>284</v>
      </c>
      <c r="H337" s="56" t="s">
        <v>20</v>
      </c>
      <c r="I337" s="58">
        <v>9.44</v>
      </c>
      <c r="J337" s="56">
        <f t="shared" si="74"/>
        <v>2</v>
      </c>
      <c r="K337" s="59">
        <v>11</v>
      </c>
      <c r="L337" s="56">
        <f t="shared" si="75"/>
        <v>3</v>
      </c>
      <c r="M337" s="60">
        <v>1.5277777777777777E-2</v>
      </c>
      <c r="N337" s="58">
        <v>2</v>
      </c>
      <c r="O337" s="7" t="s">
        <v>316</v>
      </c>
      <c r="P337" s="61" t="s">
        <v>284</v>
      </c>
      <c r="Q337" s="56" t="s">
        <v>22</v>
      </c>
      <c r="R337" s="56" t="s">
        <v>23</v>
      </c>
      <c r="S337" s="6"/>
      <c r="T337" s="6"/>
      <c r="U337" s="6"/>
      <c r="V337" s="6"/>
      <c r="W337" s="6"/>
      <c r="X337" s="6"/>
      <c r="Y337" s="6"/>
    </row>
    <row r="338" spans="1:25" ht="15.75" customHeight="1">
      <c r="A338" s="11" t="s">
        <v>18</v>
      </c>
      <c r="B338" s="11">
        <v>700043200</v>
      </c>
      <c r="C338" s="11">
        <v>7000322</v>
      </c>
      <c r="D338" s="11">
        <v>5439</v>
      </c>
      <c r="E338" s="11">
        <v>-68.3519857</v>
      </c>
      <c r="F338" s="11">
        <v>-31.517403099999999</v>
      </c>
      <c r="G338" s="11" t="s">
        <v>157</v>
      </c>
      <c r="H338" s="11" t="s">
        <v>20</v>
      </c>
      <c r="I338" s="11">
        <v>16.7</v>
      </c>
      <c r="J338" s="11">
        <f t="shared" si="74"/>
        <v>3</v>
      </c>
      <c r="K338" s="11">
        <v>20</v>
      </c>
      <c r="L338" s="11">
        <f t="shared" si="75"/>
        <v>3</v>
      </c>
      <c r="M338" s="12">
        <v>1.8749999999999999E-2</v>
      </c>
      <c r="N338" s="11">
        <v>4</v>
      </c>
      <c r="O338" s="11" t="str">
        <f t="shared" ref="O338:O341" si="77">IF(AVERAGE(J338,L338)=N338,"COINCIDE",IF(L338=N338,"INCONGRUENTE",IF(N338=7,"COINCIDE","DISTINTO")))</f>
        <v>DISTINTO</v>
      </c>
      <c r="P338" s="11" t="s">
        <v>317</v>
      </c>
      <c r="Q338" s="11" t="s">
        <v>22</v>
      </c>
      <c r="R338" s="11" t="s">
        <v>23</v>
      </c>
      <c r="S338" s="6"/>
      <c r="T338" s="6"/>
      <c r="U338" s="6"/>
      <c r="V338" s="6"/>
      <c r="W338" s="6"/>
      <c r="X338" s="6"/>
      <c r="Y338" s="6"/>
    </row>
    <row r="339" spans="1:25" ht="15.75" customHeight="1">
      <c r="A339" s="11" t="s">
        <v>18</v>
      </c>
      <c r="B339" s="11">
        <v>700043300</v>
      </c>
      <c r="C339" s="11">
        <v>7000323</v>
      </c>
      <c r="D339" s="11">
        <v>5439</v>
      </c>
      <c r="E339" s="11">
        <v>-68.441159400000004</v>
      </c>
      <c r="F339" s="11">
        <v>-31.468859999999999</v>
      </c>
      <c r="G339" s="11" t="s">
        <v>318</v>
      </c>
      <c r="H339" s="11" t="s">
        <v>20</v>
      </c>
      <c r="I339" s="11">
        <v>11.1</v>
      </c>
      <c r="J339" s="11">
        <f t="shared" si="74"/>
        <v>3</v>
      </c>
      <c r="K339" s="11">
        <v>16</v>
      </c>
      <c r="L339" s="11">
        <f t="shared" si="75"/>
        <v>3</v>
      </c>
      <c r="M339" s="12">
        <v>1.6666666666666666E-2</v>
      </c>
      <c r="N339" s="11">
        <v>4</v>
      </c>
      <c r="O339" s="11" t="str">
        <f t="shared" si="77"/>
        <v>DISTINTO</v>
      </c>
      <c r="P339" s="11" t="s">
        <v>317</v>
      </c>
      <c r="Q339" s="11" t="s">
        <v>22</v>
      </c>
      <c r="R339" s="11" t="s">
        <v>23</v>
      </c>
      <c r="S339" s="6"/>
      <c r="T339" s="6"/>
      <c r="U339" s="6"/>
      <c r="V339" s="6"/>
      <c r="W339" s="6"/>
      <c r="X339" s="6"/>
      <c r="Y339" s="6"/>
    </row>
    <row r="340" spans="1:25" ht="15" customHeight="1">
      <c r="A340" s="11" t="s">
        <v>18</v>
      </c>
      <c r="B340" s="11">
        <v>700042600</v>
      </c>
      <c r="C340" s="11">
        <v>7000324</v>
      </c>
      <c r="D340" s="11">
        <v>5439</v>
      </c>
      <c r="E340" s="11">
        <v>-68.399483799999999</v>
      </c>
      <c r="F340" s="11">
        <v>-31.535038400000001</v>
      </c>
      <c r="G340" s="11" t="s">
        <v>318</v>
      </c>
      <c r="H340" s="11" t="s">
        <v>20</v>
      </c>
      <c r="I340" s="11">
        <v>12</v>
      </c>
      <c r="J340" s="11">
        <f t="shared" si="74"/>
        <v>3</v>
      </c>
      <c r="K340" s="11">
        <v>15</v>
      </c>
      <c r="L340" s="11">
        <f t="shared" si="75"/>
        <v>3</v>
      </c>
      <c r="M340" s="12">
        <v>1.5277777777777777E-2</v>
      </c>
      <c r="N340" s="11">
        <v>4</v>
      </c>
      <c r="O340" s="11" t="str">
        <f t="shared" si="77"/>
        <v>DISTINTO</v>
      </c>
      <c r="P340" s="11" t="s">
        <v>317</v>
      </c>
      <c r="Q340" s="11" t="s">
        <v>22</v>
      </c>
      <c r="R340" s="11" t="s">
        <v>23</v>
      </c>
      <c r="S340" s="6"/>
      <c r="T340" s="6"/>
      <c r="U340" s="6"/>
      <c r="V340" s="6"/>
      <c r="W340" s="6"/>
      <c r="X340" s="6"/>
      <c r="Y340" s="6"/>
    </row>
    <row r="341" spans="1:25" ht="15.75" customHeight="1">
      <c r="A341" s="11" t="s">
        <v>18</v>
      </c>
      <c r="B341" s="11">
        <v>700043400</v>
      </c>
      <c r="C341" s="11">
        <v>7000325</v>
      </c>
      <c r="D341" s="11">
        <v>5439</v>
      </c>
      <c r="E341" s="11">
        <v>-68.415274299999993</v>
      </c>
      <c r="F341" s="11">
        <v>-31.487152300000002</v>
      </c>
      <c r="G341" s="11" t="s">
        <v>318</v>
      </c>
      <c r="H341" s="11" t="s">
        <v>20</v>
      </c>
      <c r="I341" s="11">
        <v>11.9</v>
      </c>
      <c r="J341" s="11">
        <f t="shared" si="74"/>
        <v>3</v>
      </c>
      <c r="K341" s="11">
        <v>16</v>
      </c>
      <c r="L341" s="11">
        <f t="shared" si="75"/>
        <v>3</v>
      </c>
      <c r="M341" s="12">
        <v>1.6666666666666666E-2</v>
      </c>
      <c r="N341" s="11">
        <v>4</v>
      </c>
      <c r="O341" s="11" t="str">
        <f t="shared" si="77"/>
        <v>DISTINTO</v>
      </c>
      <c r="P341" s="11" t="s">
        <v>317</v>
      </c>
      <c r="Q341" s="11" t="s">
        <v>22</v>
      </c>
      <c r="R341" s="11" t="s">
        <v>23</v>
      </c>
      <c r="S341" s="6"/>
      <c r="T341" s="6"/>
      <c r="U341" s="6"/>
      <c r="V341" s="6"/>
      <c r="W341" s="6"/>
      <c r="X341" s="6"/>
      <c r="Y341" s="6"/>
    </row>
    <row r="342" spans="1:25" ht="15.75" customHeight="1">
      <c r="A342" s="13" t="s">
        <v>18</v>
      </c>
      <c r="B342" s="13">
        <v>700042700</v>
      </c>
      <c r="C342" s="13">
        <v>7000326</v>
      </c>
      <c r="D342" s="13">
        <v>5439</v>
      </c>
      <c r="E342" s="13">
        <v>-68.299533499999995</v>
      </c>
      <c r="F342" s="13">
        <v>-31.5598128</v>
      </c>
      <c r="G342" s="13" t="s">
        <v>319</v>
      </c>
      <c r="H342" s="13" t="s">
        <v>20</v>
      </c>
      <c r="I342" s="13">
        <v>21.6</v>
      </c>
      <c r="J342" s="13">
        <f t="shared" si="74"/>
        <v>4</v>
      </c>
      <c r="K342" s="13">
        <v>25</v>
      </c>
      <c r="L342" s="13">
        <f t="shared" si="75"/>
        <v>4</v>
      </c>
      <c r="M342" s="14">
        <v>2.2916666666666669E-2</v>
      </c>
      <c r="N342" s="13">
        <v>4</v>
      </c>
      <c r="O342" s="13" t="str">
        <f t="shared" ref="O342:O346" si="78">IF(AVERAGE(J342,L342)=N342,"COINCIDE",IF(L342=N342,"INCONGRUENTE","DISTINTO"))</f>
        <v>COINCIDE</v>
      </c>
      <c r="P342" s="13" t="s">
        <v>317</v>
      </c>
      <c r="Q342" s="13" t="s">
        <v>22</v>
      </c>
      <c r="R342" s="13" t="s">
        <v>23</v>
      </c>
      <c r="S342" s="6"/>
      <c r="T342" s="6"/>
      <c r="U342" s="6"/>
      <c r="V342" s="6"/>
      <c r="W342" s="6"/>
      <c r="X342" s="6"/>
      <c r="Y342" s="6"/>
    </row>
    <row r="343" spans="1:25" ht="15.75" customHeight="1">
      <c r="A343" s="7" t="s">
        <v>18</v>
      </c>
      <c r="B343" s="7">
        <v>700010300</v>
      </c>
      <c r="C343" s="7">
        <v>7000327</v>
      </c>
      <c r="D343" s="7">
        <v>5439</v>
      </c>
      <c r="E343" s="7">
        <v>-68.347431599999993</v>
      </c>
      <c r="F343" s="7">
        <v>-31.572008</v>
      </c>
      <c r="G343" s="7" t="s">
        <v>320</v>
      </c>
      <c r="H343" s="7" t="s">
        <v>20</v>
      </c>
      <c r="I343" s="7">
        <v>17.399999999999999</v>
      </c>
      <c r="J343" s="35">
        <f t="shared" si="74"/>
        <v>3</v>
      </c>
      <c r="K343" s="7">
        <v>24</v>
      </c>
      <c r="L343" s="35">
        <f t="shared" si="75"/>
        <v>4</v>
      </c>
      <c r="M343" s="9">
        <v>2.1527777777777781E-2</v>
      </c>
      <c r="N343" s="7">
        <v>4</v>
      </c>
      <c r="O343" s="35" t="str">
        <f t="shared" si="78"/>
        <v>INCONGRUENTE</v>
      </c>
      <c r="P343" s="7" t="s">
        <v>317</v>
      </c>
      <c r="Q343" s="7" t="s">
        <v>22</v>
      </c>
      <c r="R343" s="7" t="s">
        <v>23</v>
      </c>
      <c r="S343" s="6"/>
      <c r="T343" s="6"/>
      <c r="U343" s="6"/>
      <c r="V343" s="6"/>
      <c r="W343" s="6"/>
      <c r="X343" s="6"/>
      <c r="Y343" s="6"/>
    </row>
    <row r="344" spans="1:25" ht="15.75" customHeight="1">
      <c r="A344" s="13" t="s">
        <v>40</v>
      </c>
      <c r="B344" s="13">
        <v>700043500</v>
      </c>
      <c r="C344" s="13">
        <v>7000328</v>
      </c>
      <c r="D344" s="13">
        <v>5439</v>
      </c>
      <c r="E344" s="13">
        <v>-68.322736599999999</v>
      </c>
      <c r="F344" s="13">
        <v>-31.484822099999999</v>
      </c>
      <c r="G344" s="13" t="s">
        <v>157</v>
      </c>
      <c r="H344" s="13" t="s">
        <v>20</v>
      </c>
      <c r="I344" s="13">
        <v>20.2</v>
      </c>
      <c r="J344" s="13">
        <f t="shared" si="74"/>
        <v>4</v>
      </c>
      <c r="K344" s="13">
        <v>26</v>
      </c>
      <c r="L344" s="13">
        <f t="shared" si="75"/>
        <v>4</v>
      </c>
      <c r="M344" s="14">
        <v>2.2916666666666669E-2</v>
      </c>
      <c r="N344" s="13">
        <v>4</v>
      </c>
      <c r="O344" s="13" t="str">
        <f t="shared" si="78"/>
        <v>COINCIDE</v>
      </c>
      <c r="P344" s="13" t="s">
        <v>317</v>
      </c>
      <c r="Q344" s="13" t="s">
        <v>22</v>
      </c>
      <c r="R344" s="13" t="s">
        <v>23</v>
      </c>
      <c r="S344" s="6"/>
      <c r="T344" s="6"/>
      <c r="U344" s="6"/>
      <c r="V344" s="6"/>
      <c r="W344" s="6"/>
      <c r="X344" s="6"/>
      <c r="Y344" s="6"/>
    </row>
    <row r="345" spans="1:25" ht="15.75" customHeight="1">
      <c r="A345" s="13" t="s">
        <v>18</v>
      </c>
      <c r="B345" s="13">
        <v>700043600</v>
      </c>
      <c r="C345" s="13">
        <v>7000329</v>
      </c>
      <c r="D345" s="13">
        <v>5439</v>
      </c>
      <c r="E345" s="13">
        <v>-68.300627800000001</v>
      </c>
      <c r="F345" s="13">
        <v>-31.492369100000001</v>
      </c>
      <c r="G345" s="13" t="s">
        <v>157</v>
      </c>
      <c r="H345" s="13" t="s">
        <v>20</v>
      </c>
      <c r="I345" s="13">
        <v>21.9</v>
      </c>
      <c r="J345" s="13">
        <f t="shared" si="74"/>
        <v>4</v>
      </c>
      <c r="K345" s="13">
        <v>27</v>
      </c>
      <c r="L345" s="13">
        <f t="shared" si="75"/>
        <v>4</v>
      </c>
      <c r="M345" s="14">
        <v>2.361111111111111E-2</v>
      </c>
      <c r="N345" s="13">
        <v>4</v>
      </c>
      <c r="O345" s="13" t="str">
        <f t="shared" si="78"/>
        <v>COINCIDE</v>
      </c>
      <c r="P345" s="13" t="s">
        <v>317</v>
      </c>
      <c r="Q345" s="13" t="s">
        <v>22</v>
      </c>
      <c r="R345" s="13" t="s">
        <v>23</v>
      </c>
      <c r="S345" s="6"/>
      <c r="T345" s="6"/>
      <c r="U345" s="6"/>
      <c r="V345" s="6"/>
      <c r="W345" s="6"/>
      <c r="X345" s="6"/>
      <c r="Y345" s="6"/>
    </row>
    <row r="346" spans="1:25" ht="15.75" customHeight="1">
      <c r="A346" s="7" t="s">
        <v>18</v>
      </c>
      <c r="B346" s="7">
        <v>700043700</v>
      </c>
      <c r="C346" s="7">
        <v>7000330</v>
      </c>
      <c r="D346" s="7">
        <v>5439</v>
      </c>
      <c r="E346" s="7">
        <v>-68.324552100000005</v>
      </c>
      <c r="F346" s="7">
        <v>-31.489195599999999</v>
      </c>
      <c r="G346" s="7" t="s">
        <v>157</v>
      </c>
      <c r="H346" s="7" t="s">
        <v>20</v>
      </c>
      <c r="I346" s="7">
        <v>19.8</v>
      </c>
      <c r="J346" s="35">
        <f t="shared" si="74"/>
        <v>3</v>
      </c>
      <c r="K346" s="7">
        <v>25</v>
      </c>
      <c r="L346" s="35">
        <f t="shared" si="75"/>
        <v>4</v>
      </c>
      <c r="M346" s="9">
        <v>2.361111111111111E-2</v>
      </c>
      <c r="N346" s="7">
        <v>4</v>
      </c>
      <c r="O346" s="35" t="str">
        <f t="shared" si="78"/>
        <v>INCONGRUENTE</v>
      </c>
      <c r="P346" s="7" t="s">
        <v>317</v>
      </c>
      <c r="Q346" s="7" t="s">
        <v>22</v>
      </c>
      <c r="R346" s="7" t="s">
        <v>23</v>
      </c>
      <c r="S346" s="6"/>
      <c r="T346" s="6"/>
      <c r="U346" s="6"/>
      <c r="V346" s="6"/>
      <c r="W346" s="6"/>
      <c r="X346" s="6"/>
      <c r="Y346" s="6"/>
    </row>
    <row r="347" spans="1:25" ht="15.75" customHeight="1">
      <c r="A347" s="11" t="s">
        <v>18</v>
      </c>
      <c r="B347" s="11">
        <v>700043800</v>
      </c>
      <c r="C347" s="11">
        <v>7000331</v>
      </c>
      <c r="D347" s="11">
        <v>5439</v>
      </c>
      <c r="E347" s="11">
        <v>-68.367053400000003</v>
      </c>
      <c r="F347" s="11">
        <v>-31.5015635</v>
      </c>
      <c r="G347" s="11" t="s">
        <v>157</v>
      </c>
      <c r="H347" s="11" t="s">
        <v>20</v>
      </c>
      <c r="I347" s="11">
        <v>15.6</v>
      </c>
      <c r="J347" s="11">
        <f t="shared" si="74"/>
        <v>3</v>
      </c>
      <c r="K347" s="11">
        <v>20</v>
      </c>
      <c r="L347" s="11">
        <f t="shared" si="75"/>
        <v>3</v>
      </c>
      <c r="M347" s="12">
        <v>1.9444444444444445E-2</v>
      </c>
      <c r="N347" s="11">
        <v>4</v>
      </c>
      <c r="O347" s="11" t="str">
        <f>IF(AVERAGE(J347,L347)=N347,"COINCIDE",IF(L347=N347,"INCONGRUENTE",IF(N347=7,"COINCIDE","DISTINTO")))</f>
        <v>DISTINTO</v>
      </c>
      <c r="P347" s="11" t="s">
        <v>317</v>
      </c>
      <c r="Q347" s="11" t="s">
        <v>22</v>
      </c>
      <c r="R347" s="11" t="s">
        <v>23</v>
      </c>
      <c r="S347" s="6"/>
      <c r="T347" s="6"/>
      <c r="U347" s="6"/>
      <c r="V347" s="6"/>
      <c r="W347" s="6"/>
      <c r="X347" s="6"/>
      <c r="Y347" s="6"/>
    </row>
    <row r="348" spans="1:25" ht="15.75" customHeight="1">
      <c r="A348" s="7" t="s">
        <v>18</v>
      </c>
      <c r="B348" s="7">
        <v>700043000</v>
      </c>
      <c r="C348" s="7">
        <v>7000332</v>
      </c>
      <c r="D348" s="7">
        <v>5439</v>
      </c>
      <c r="E348" s="7">
        <v>-68.328006900000005</v>
      </c>
      <c r="F348" s="7">
        <v>-31.5544753</v>
      </c>
      <c r="G348" s="7" t="s">
        <v>321</v>
      </c>
      <c r="H348" s="7" t="s">
        <v>20</v>
      </c>
      <c r="I348" s="7">
        <v>18.899999999999999</v>
      </c>
      <c r="J348" s="35">
        <f t="shared" si="74"/>
        <v>3</v>
      </c>
      <c r="K348" s="7">
        <v>23</v>
      </c>
      <c r="L348" s="35">
        <f t="shared" si="75"/>
        <v>4</v>
      </c>
      <c r="M348" s="9">
        <v>2.0833333333333332E-2</v>
      </c>
      <c r="N348" s="7">
        <v>4</v>
      </c>
      <c r="O348" s="35" t="str">
        <f>IF(AVERAGE(J348,L348)=N348,"COINCIDE",IF(L348=N348,"INCONGRUENTE","DISTINTO"))</f>
        <v>INCONGRUENTE</v>
      </c>
      <c r="P348" s="7" t="s">
        <v>317</v>
      </c>
      <c r="Q348" s="7" t="s">
        <v>22</v>
      </c>
      <c r="R348" s="7" t="s">
        <v>23</v>
      </c>
      <c r="S348" s="6"/>
      <c r="T348" s="6"/>
      <c r="U348" s="6"/>
      <c r="V348" s="6"/>
      <c r="W348" s="6"/>
      <c r="X348" s="6"/>
      <c r="Y348" s="6"/>
    </row>
    <row r="349" spans="1:25" ht="15.75" customHeight="1">
      <c r="A349" s="11" t="s">
        <v>18</v>
      </c>
      <c r="B349" s="11">
        <v>700043100</v>
      </c>
      <c r="C349" s="11">
        <v>7000333</v>
      </c>
      <c r="D349" s="11">
        <v>5439</v>
      </c>
      <c r="E349" s="11">
        <v>-68.3784651</v>
      </c>
      <c r="F349" s="11">
        <v>-31.519844800000001</v>
      </c>
      <c r="G349" s="11" t="s">
        <v>322</v>
      </c>
      <c r="H349" s="11" t="s">
        <v>20</v>
      </c>
      <c r="I349" s="11">
        <v>14.1</v>
      </c>
      <c r="J349" s="11">
        <f t="shared" si="74"/>
        <v>3</v>
      </c>
      <c r="K349" s="11">
        <v>17</v>
      </c>
      <c r="L349" s="11">
        <f t="shared" si="75"/>
        <v>3</v>
      </c>
      <c r="M349" s="12">
        <v>1.6666666666666666E-2</v>
      </c>
      <c r="N349" s="11">
        <v>4</v>
      </c>
      <c r="O349" s="11" t="str">
        <f>IF(AVERAGE(J349,L349)=N349,"COINCIDE",IF(L349=N349,"INCONGRUENTE",IF(N349=7,"COINCIDE","DISTINTO")))</f>
        <v>DISTINTO</v>
      </c>
      <c r="P349" s="11" t="s">
        <v>317</v>
      </c>
      <c r="Q349" s="11" t="s">
        <v>22</v>
      </c>
      <c r="R349" s="11" t="s">
        <v>23</v>
      </c>
      <c r="S349" s="6"/>
      <c r="T349" s="6"/>
      <c r="U349" s="6"/>
      <c r="V349" s="6"/>
      <c r="W349" s="6"/>
      <c r="X349" s="6"/>
      <c r="Y349" s="6"/>
    </row>
    <row r="350" spans="1:25" ht="15.75" customHeight="1">
      <c r="A350" s="56" t="s">
        <v>64</v>
      </c>
      <c r="B350" s="56">
        <v>700042800</v>
      </c>
      <c r="C350" s="56" t="s">
        <v>323</v>
      </c>
      <c r="D350" s="56">
        <v>5439</v>
      </c>
      <c r="E350" s="56">
        <v>-68.335006699999994</v>
      </c>
      <c r="F350" s="56">
        <v>-31.555012900000001</v>
      </c>
      <c r="G350" s="56" t="s">
        <v>324</v>
      </c>
      <c r="H350" s="56" t="s">
        <v>20</v>
      </c>
      <c r="I350" s="56">
        <v>18.3</v>
      </c>
      <c r="J350" s="62">
        <f t="shared" si="74"/>
        <v>3</v>
      </c>
      <c r="K350" s="56">
        <v>22</v>
      </c>
      <c r="L350" s="62">
        <f t="shared" si="75"/>
        <v>4</v>
      </c>
      <c r="M350" s="63">
        <v>2.013888888888889E-2</v>
      </c>
      <c r="N350" s="56">
        <v>4</v>
      </c>
      <c r="O350" s="62" t="str">
        <f t="shared" ref="O350:O351" si="79">IF(AVERAGE(J350,L350)=N350,"COINCIDE",IF(L350=N350,"INCONGRUENTE","DISTINTO"))</f>
        <v>INCONGRUENTE</v>
      </c>
      <c r="P350" s="56" t="s">
        <v>317</v>
      </c>
      <c r="Q350" s="56" t="s">
        <v>22</v>
      </c>
      <c r="R350" s="56" t="s">
        <v>23</v>
      </c>
      <c r="S350" s="6"/>
      <c r="T350" s="6"/>
      <c r="U350" s="6"/>
      <c r="V350" s="6"/>
      <c r="W350" s="6"/>
      <c r="X350" s="6"/>
      <c r="Y350" s="6"/>
    </row>
    <row r="351" spans="1:25" ht="15.75" customHeight="1">
      <c r="A351" s="13" t="s">
        <v>18</v>
      </c>
      <c r="B351" s="13">
        <v>700038600</v>
      </c>
      <c r="C351" s="13">
        <v>7000334</v>
      </c>
      <c r="D351" s="13">
        <v>5411</v>
      </c>
      <c r="E351" s="13">
        <v>-68.495495899999995</v>
      </c>
      <c r="F351" s="13">
        <v>-31.5414557</v>
      </c>
      <c r="G351" s="13" t="s">
        <v>325</v>
      </c>
      <c r="H351" s="13" t="s">
        <v>20</v>
      </c>
      <c r="I351" s="13">
        <v>2.9</v>
      </c>
      <c r="J351" s="13">
        <f t="shared" si="74"/>
        <v>1</v>
      </c>
      <c r="K351" s="13">
        <v>3</v>
      </c>
      <c r="L351" s="24">
        <f t="shared" si="75"/>
        <v>1</v>
      </c>
      <c r="M351" s="14">
        <v>6.2499999999999995E-3</v>
      </c>
      <c r="N351" s="13">
        <v>1</v>
      </c>
      <c r="O351" s="13" t="str">
        <f t="shared" si="79"/>
        <v>COINCIDE</v>
      </c>
      <c r="P351" s="13" t="s">
        <v>325</v>
      </c>
      <c r="Q351" s="13" t="s">
        <v>22</v>
      </c>
      <c r="R351" s="13" t="s">
        <v>23</v>
      </c>
      <c r="S351" s="6"/>
      <c r="T351" s="6"/>
      <c r="U351" s="6"/>
      <c r="V351" s="6"/>
      <c r="W351" s="6"/>
      <c r="X351" s="6"/>
      <c r="Y351" s="6"/>
    </row>
    <row r="352" spans="1:25" ht="15.75" customHeight="1">
      <c r="A352" s="13" t="s">
        <v>18</v>
      </c>
      <c r="B352" s="13">
        <v>700018700</v>
      </c>
      <c r="C352" s="13">
        <v>7000147</v>
      </c>
      <c r="D352" s="13">
        <v>5442</v>
      </c>
      <c r="E352" s="13">
        <v>-68.220973299999997</v>
      </c>
      <c r="F352" s="13">
        <v>-31.663386599999999</v>
      </c>
      <c r="G352" s="13" t="s">
        <v>326</v>
      </c>
      <c r="H352" s="13" t="s">
        <v>222</v>
      </c>
      <c r="I352" s="13">
        <v>2.2000000000000002</v>
      </c>
      <c r="J352" s="13">
        <f>IF(I352&lt;=2,3,IF(I352&lt;=40,4,IF(I352&lt;=80,5,6)))</f>
        <v>4</v>
      </c>
      <c r="K352" s="13">
        <v>3</v>
      </c>
      <c r="L352" s="13">
        <f>IF(K352&lt;=2,3,IF(K352&lt;=40,4,IF(K352&lt;=80,5,6)))</f>
        <v>4</v>
      </c>
      <c r="M352" s="14">
        <v>5.5555555555555558E-3</v>
      </c>
      <c r="N352" s="13">
        <v>4</v>
      </c>
      <c r="O352" s="13" t="str">
        <f>IF(AVERAGE(J352,L352)=N352,"COINCIDE",IF(L352=N352,"INCONGRUENTE",IF(N352=7,"COINCIDE","DISTINTO")))</f>
        <v>COINCIDE</v>
      </c>
      <c r="P352" s="13" t="s">
        <v>221</v>
      </c>
      <c r="Q352" s="13" t="s">
        <v>22</v>
      </c>
      <c r="R352" s="13" t="s">
        <v>23</v>
      </c>
      <c r="S352" s="6"/>
      <c r="T352" s="6"/>
      <c r="U352" s="6"/>
      <c r="V352" s="6"/>
      <c r="W352" s="6"/>
      <c r="X352" s="6"/>
      <c r="Y352" s="6"/>
    </row>
    <row r="353" spans="1:25" ht="15.75" customHeight="1">
      <c r="A353" s="27" t="s">
        <v>18</v>
      </c>
      <c r="B353" s="27">
        <v>700000800</v>
      </c>
      <c r="C353" s="27">
        <v>7000335</v>
      </c>
      <c r="D353" s="27">
        <v>5411</v>
      </c>
      <c r="E353" s="27">
        <v>-68.482345100000003</v>
      </c>
      <c r="F353" s="27">
        <v>-31.544531200000002</v>
      </c>
      <c r="G353" s="27" t="s">
        <v>327</v>
      </c>
      <c r="H353" s="27" t="s">
        <v>20</v>
      </c>
      <c r="I353" s="27">
        <v>4.1900000000000004</v>
      </c>
      <c r="J353" s="27">
        <f>IF(I353&lt;=4,1,IF(I353&lt;=10,2,IF(I353&lt;=20,3,IF(I353&lt;=40,4,IF(I353&lt;=80,5,6)))))</f>
        <v>2</v>
      </c>
      <c r="K353" s="27">
        <v>5</v>
      </c>
      <c r="L353" s="64">
        <f>IF(K353&lt;=4,1,IF(K353&lt;=10,2,IF(K353&lt;=20,3,IF(K353&lt;=40,4,IF(K353&lt;=80,5,6)))))</f>
        <v>2</v>
      </c>
      <c r="M353" s="28">
        <v>7.6388888888888886E-3</v>
      </c>
      <c r="N353" s="27">
        <v>2</v>
      </c>
      <c r="O353" s="27" t="str">
        <f>IF(AVERAGE(J353,L353)=N353,"COINCIDE",IF(L353=N353,"INCONGRUENTE","DISTINTO"))</f>
        <v>COINCIDE</v>
      </c>
      <c r="P353" s="27" t="s">
        <v>325</v>
      </c>
      <c r="Q353" s="27" t="s">
        <v>22</v>
      </c>
      <c r="R353" s="27" t="s">
        <v>23</v>
      </c>
      <c r="S353" s="6"/>
      <c r="T353" s="6"/>
      <c r="U353" s="6"/>
      <c r="V353" s="6"/>
      <c r="W353" s="6"/>
      <c r="X353" s="6"/>
      <c r="Y353" s="6"/>
    </row>
    <row r="354" spans="1:25" ht="15.75" customHeight="1">
      <c r="A354" s="13" t="s">
        <v>18</v>
      </c>
      <c r="B354" s="13">
        <v>700018800</v>
      </c>
      <c r="C354" s="13">
        <v>7000148</v>
      </c>
      <c r="D354" s="13">
        <v>5442</v>
      </c>
      <c r="E354" s="13">
        <v>-68.231115299999999</v>
      </c>
      <c r="F354" s="13">
        <v>-31.678690199999998</v>
      </c>
      <c r="G354" s="13" t="s">
        <v>328</v>
      </c>
      <c r="H354" s="13" t="s">
        <v>222</v>
      </c>
      <c r="I354" s="13">
        <v>5.77</v>
      </c>
      <c r="J354" s="13">
        <f t="shared" ref="J354:J355" si="80">IF(I354&lt;=2,3,IF(I354&lt;=40,4,IF(I354&lt;=80,5,6)))</f>
        <v>4</v>
      </c>
      <c r="K354" s="13">
        <v>8</v>
      </c>
      <c r="L354" s="13">
        <f t="shared" ref="L354:L355" si="81">IF(K354&lt;=2,3,IF(K354&lt;=40,4,IF(K354&lt;=80,5,6)))</f>
        <v>4</v>
      </c>
      <c r="M354" s="14">
        <v>8.3333333333333332E-3</v>
      </c>
      <c r="N354" s="13">
        <v>4</v>
      </c>
      <c r="O354" s="13" t="str">
        <f t="shared" ref="O354:O355" si="82">IF(AVERAGE(J354,L354)=N354,"COINCIDE",IF(L354=N354,"INCONGRUENTE",IF(N354=7,"COINCIDE","DISTINTO")))</f>
        <v>COINCIDE</v>
      </c>
      <c r="P354" s="13" t="s">
        <v>221</v>
      </c>
      <c r="Q354" s="13" t="s">
        <v>22</v>
      </c>
      <c r="R354" s="13" t="s">
        <v>329</v>
      </c>
      <c r="S354" s="6"/>
      <c r="T354" s="6"/>
      <c r="U354" s="6"/>
      <c r="V354" s="6"/>
      <c r="W354" s="6"/>
      <c r="X354" s="6"/>
      <c r="Y354" s="6"/>
    </row>
    <row r="355" spans="1:25" ht="15.75" customHeight="1">
      <c r="A355" s="13" t="s">
        <v>18</v>
      </c>
      <c r="B355" s="13">
        <v>700019000</v>
      </c>
      <c r="C355" s="13">
        <v>7000150</v>
      </c>
      <c r="D355" s="13">
        <v>5442</v>
      </c>
      <c r="E355" s="13">
        <v>-68.221939199999994</v>
      </c>
      <c r="F355" s="13">
        <v>-31.692023299999999</v>
      </c>
      <c r="G355" s="13" t="s">
        <v>328</v>
      </c>
      <c r="H355" s="13" t="s">
        <v>222</v>
      </c>
      <c r="I355" s="13">
        <v>7.33</v>
      </c>
      <c r="J355" s="13">
        <f t="shared" si="80"/>
        <v>4</v>
      </c>
      <c r="K355" s="13">
        <v>10</v>
      </c>
      <c r="L355" s="13">
        <f t="shared" si="81"/>
        <v>4</v>
      </c>
      <c r="M355" s="14">
        <v>9.0277777777777787E-3</v>
      </c>
      <c r="N355" s="13">
        <v>4</v>
      </c>
      <c r="O355" s="13" t="str">
        <f t="shared" si="82"/>
        <v>COINCIDE</v>
      </c>
      <c r="P355" s="13" t="s">
        <v>221</v>
      </c>
      <c r="Q355" s="13" t="s">
        <v>22</v>
      </c>
      <c r="R355" s="13" t="s">
        <v>23</v>
      </c>
      <c r="S355" s="6"/>
      <c r="T355" s="6"/>
      <c r="U355" s="6"/>
      <c r="V355" s="6"/>
      <c r="W355" s="6"/>
      <c r="X355" s="6"/>
      <c r="Y355" s="6"/>
    </row>
    <row r="356" spans="1:25" ht="15.75" customHeight="1">
      <c r="A356" s="8" t="s">
        <v>18</v>
      </c>
      <c r="B356" s="8">
        <v>700000200</v>
      </c>
      <c r="C356" s="8">
        <v>7000336</v>
      </c>
      <c r="D356" s="8">
        <v>5411</v>
      </c>
      <c r="E356" s="8">
        <v>-68.495215200000004</v>
      </c>
      <c r="F356" s="8">
        <v>-31.522030699999998</v>
      </c>
      <c r="G356" s="8" t="s">
        <v>58</v>
      </c>
      <c r="H356" s="8" t="s">
        <v>20</v>
      </c>
      <c r="I356" s="8">
        <v>3.34</v>
      </c>
      <c r="J356" s="65">
        <f>IF(I356&lt;=4,1,IF(I356&lt;=10,2,IF(I356&lt;=20,3,IF(I356&lt;=40,4,IF(I356&lt;=80,5,6)))))</f>
        <v>1</v>
      </c>
      <c r="K356" s="8">
        <v>5</v>
      </c>
      <c r="L356" s="65">
        <f>IF(K356&lt;=4,1,IF(K356&lt;=10,2,IF(K356&lt;=20,3,IF(K356&lt;=40,4,IF(K356&lt;=80,5,6)))))</f>
        <v>2</v>
      </c>
      <c r="M356" s="66">
        <v>7.6388888888888886E-3</v>
      </c>
      <c r="N356" s="8">
        <v>2</v>
      </c>
      <c r="O356" s="65" t="str">
        <f>IF(AVERAGE(J356,L356)=N356,"COINCIDE",IF(L356=N356,"INCONGRUENTE","DISTINTO"))</f>
        <v>INCONGRUENTE</v>
      </c>
      <c r="P356" s="8" t="s">
        <v>325</v>
      </c>
      <c r="Q356" s="8" t="s">
        <v>22</v>
      </c>
      <c r="R356" s="8" t="s">
        <v>23</v>
      </c>
      <c r="S356" s="6"/>
      <c r="T356" s="6"/>
      <c r="U356" s="6"/>
      <c r="V356" s="6"/>
      <c r="W356" s="6"/>
      <c r="X356" s="6"/>
      <c r="Y356" s="6"/>
    </row>
    <row r="357" spans="1:25" ht="15.75" customHeight="1">
      <c r="A357" s="67" t="s">
        <v>18</v>
      </c>
      <c r="B357" s="67">
        <v>700022100</v>
      </c>
      <c r="C357" s="67">
        <v>7000151</v>
      </c>
      <c r="D357" s="67">
        <v>5442</v>
      </c>
      <c r="E357" s="67">
        <v>-67.984085199999996</v>
      </c>
      <c r="F357" s="67">
        <v>-31.7366426</v>
      </c>
      <c r="G357" s="67" t="s">
        <v>330</v>
      </c>
      <c r="H357" s="67" t="s">
        <v>222</v>
      </c>
      <c r="I357" s="67">
        <v>29.7</v>
      </c>
      <c r="J357" s="11">
        <f>IF(I357&lt;=2,3,IF(I357&lt;=40,4,IF(I357&lt;=80,5,6)))</f>
        <v>4</v>
      </c>
      <c r="K357" s="67">
        <v>36</v>
      </c>
      <c r="L357" s="11">
        <f>IF(K357&lt;=2,3,IF(K357&lt;=40,4,IF(K357&lt;=80,5,6)))</f>
        <v>4</v>
      </c>
      <c r="M357" s="68">
        <v>2.4999999999999998E-2</v>
      </c>
      <c r="N357" s="67">
        <v>5</v>
      </c>
      <c r="O357" s="11" t="str">
        <f t="shared" ref="O357:O358" si="83">IF(AVERAGE(J357,L357)=N357,"COINCIDE",IF(L357=N357,"INCONGRUENTE",IF(N357=7,"COINCIDE","DISTINTO")))</f>
        <v>DISTINTO</v>
      </c>
      <c r="P357" s="67" t="s">
        <v>221</v>
      </c>
      <c r="Q357" s="67" t="s">
        <v>22</v>
      </c>
      <c r="R357" s="67" t="s">
        <v>23</v>
      </c>
      <c r="S357" s="6"/>
      <c r="T357" s="6"/>
      <c r="U357" s="6"/>
      <c r="V357" s="6"/>
      <c r="W357" s="6"/>
      <c r="X357" s="6"/>
      <c r="Y357" s="6"/>
    </row>
    <row r="358" spans="1:25" ht="15.75" customHeight="1">
      <c r="A358" s="11" t="s">
        <v>136</v>
      </c>
      <c r="B358" s="11">
        <v>700026200</v>
      </c>
      <c r="C358" s="11">
        <v>7000337</v>
      </c>
      <c r="D358" s="11">
        <v>5411</v>
      </c>
      <c r="E358" s="11">
        <v>-68.489230000000006</v>
      </c>
      <c r="F358" s="11">
        <v>-31.529124700000001</v>
      </c>
      <c r="G358" s="11" t="s">
        <v>325</v>
      </c>
      <c r="H358" s="11" t="s">
        <v>20</v>
      </c>
      <c r="I358" s="11">
        <v>3.6</v>
      </c>
      <c r="J358" s="11">
        <f t="shared" ref="J358:J367" si="84">IF(I358&lt;=4,1,IF(I358&lt;=10,2,IF(I358&lt;=20,3,IF(I358&lt;=40,4,IF(I358&lt;=80,5,6)))))</f>
        <v>1</v>
      </c>
      <c r="K358" s="11">
        <v>4</v>
      </c>
      <c r="L358" s="11">
        <f t="shared" ref="L358:L367" si="85">IF(K358&lt;=4,1,IF(K358&lt;=10,2,IF(K358&lt;=20,3,IF(K358&lt;=40,4,IF(K358&lt;=80,5,6)))))</f>
        <v>1</v>
      </c>
      <c r="M358" s="12">
        <v>6.9444444444444441E-3</v>
      </c>
      <c r="N358" s="11">
        <v>2</v>
      </c>
      <c r="O358" s="11" t="str">
        <f t="shared" si="83"/>
        <v>DISTINTO</v>
      </c>
      <c r="P358" s="11" t="s">
        <v>325</v>
      </c>
      <c r="Q358" s="11" t="s">
        <v>22</v>
      </c>
      <c r="R358" s="11" t="s">
        <v>23</v>
      </c>
      <c r="S358" s="6"/>
      <c r="T358" s="6"/>
      <c r="U358" s="6"/>
      <c r="V358" s="6"/>
      <c r="W358" s="6"/>
      <c r="X358" s="6"/>
      <c r="Y358" s="6"/>
    </row>
    <row r="359" spans="1:25" ht="15.75" customHeight="1">
      <c r="A359" s="13" t="s">
        <v>18</v>
      </c>
      <c r="B359" s="13">
        <v>700034900</v>
      </c>
      <c r="C359" s="13">
        <v>7000338</v>
      </c>
      <c r="D359" s="13">
        <v>5411</v>
      </c>
      <c r="E359" s="13">
        <v>-68.480999100000005</v>
      </c>
      <c r="F359" s="13">
        <v>-31.5339563</v>
      </c>
      <c r="G359" s="13" t="s">
        <v>192</v>
      </c>
      <c r="H359" s="13" t="s">
        <v>20</v>
      </c>
      <c r="I359" s="13">
        <v>4.28</v>
      </c>
      <c r="J359" s="13">
        <f t="shared" si="84"/>
        <v>2</v>
      </c>
      <c r="K359" s="13">
        <v>5</v>
      </c>
      <c r="L359" s="13">
        <f t="shared" si="85"/>
        <v>2</v>
      </c>
      <c r="M359" s="14">
        <v>8.3333333333333332E-3</v>
      </c>
      <c r="N359" s="13">
        <v>2</v>
      </c>
      <c r="O359" s="13" t="str">
        <f t="shared" ref="O359:O360" si="86">IF(AVERAGE(J359,L359)=N359,"COINCIDE",IF(L359=N359,"INCONGRUENTE","DISTINTO"))</f>
        <v>COINCIDE</v>
      </c>
      <c r="P359" s="13" t="s">
        <v>325</v>
      </c>
      <c r="Q359" s="13" t="s">
        <v>22</v>
      </c>
      <c r="R359" s="13" t="s">
        <v>23</v>
      </c>
      <c r="S359" s="6"/>
      <c r="T359" s="6"/>
      <c r="U359" s="6"/>
      <c r="V359" s="6"/>
      <c r="W359" s="6"/>
      <c r="X359" s="6"/>
      <c r="Y359" s="6"/>
    </row>
    <row r="360" spans="1:25" ht="15.75" customHeight="1">
      <c r="A360" s="13" t="s">
        <v>18</v>
      </c>
      <c r="B360" s="13">
        <v>700000700</v>
      </c>
      <c r="C360" s="13">
        <v>7000340</v>
      </c>
      <c r="D360" s="13">
        <v>5411</v>
      </c>
      <c r="E360" s="13">
        <v>-68.417531800000006</v>
      </c>
      <c r="F360" s="13">
        <v>-31.5556248</v>
      </c>
      <c r="G360" s="13" t="s">
        <v>331</v>
      </c>
      <c r="H360" s="13" t="s">
        <v>20</v>
      </c>
      <c r="I360" s="13">
        <v>10.5</v>
      </c>
      <c r="J360" s="13">
        <f t="shared" si="84"/>
        <v>3</v>
      </c>
      <c r="K360" s="13">
        <v>14</v>
      </c>
      <c r="L360" s="13">
        <f t="shared" si="85"/>
        <v>3</v>
      </c>
      <c r="M360" s="14">
        <v>1.1805555555555555E-2</v>
      </c>
      <c r="N360" s="13">
        <v>3</v>
      </c>
      <c r="O360" s="13" t="str">
        <f t="shared" si="86"/>
        <v>COINCIDE</v>
      </c>
      <c r="P360" s="13" t="s">
        <v>325</v>
      </c>
      <c r="Q360" s="13" t="s">
        <v>22</v>
      </c>
      <c r="R360" s="13" t="s">
        <v>23</v>
      </c>
      <c r="S360" s="6"/>
      <c r="T360" s="6"/>
      <c r="U360" s="6"/>
      <c r="V360" s="6"/>
      <c r="W360" s="6"/>
      <c r="X360" s="6"/>
      <c r="Y360" s="6"/>
    </row>
    <row r="361" spans="1:25" ht="15.75" customHeight="1">
      <c r="A361" s="11" t="s">
        <v>18</v>
      </c>
      <c r="B361" s="11">
        <v>700038700</v>
      </c>
      <c r="C361" s="11">
        <v>7000341</v>
      </c>
      <c r="D361" s="11">
        <v>5411</v>
      </c>
      <c r="E361" s="11">
        <v>-68.437774500000003</v>
      </c>
      <c r="F361" s="11">
        <v>-31.536172000000001</v>
      </c>
      <c r="G361" s="11" t="s">
        <v>331</v>
      </c>
      <c r="H361" s="11" t="s">
        <v>20</v>
      </c>
      <c r="I361" s="11">
        <v>8.75</v>
      </c>
      <c r="J361" s="11">
        <f t="shared" si="84"/>
        <v>2</v>
      </c>
      <c r="K361" s="11">
        <v>10</v>
      </c>
      <c r="L361" s="11">
        <f t="shared" si="85"/>
        <v>2</v>
      </c>
      <c r="M361" s="12">
        <v>1.1805555555555555E-2</v>
      </c>
      <c r="N361" s="11">
        <v>3</v>
      </c>
      <c r="O361" s="11" t="str">
        <f t="shared" ref="O361:O362" si="87">IF(AVERAGE(J361,L361)=N361,"COINCIDE",IF(L361=N361,"INCONGRUENTE",IF(N361=7,"COINCIDE","DISTINTO")))</f>
        <v>DISTINTO</v>
      </c>
      <c r="P361" s="11" t="s">
        <v>325</v>
      </c>
      <c r="Q361" s="11" t="s">
        <v>22</v>
      </c>
      <c r="R361" s="11" t="s">
        <v>23</v>
      </c>
      <c r="S361" s="6"/>
      <c r="T361" s="6"/>
      <c r="U361" s="6"/>
      <c r="V361" s="6"/>
      <c r="W361" s="6"/>
      <c r="X361" s="6"/>
      <c r="Y361" s="6"/>
    </row>
    <row r="362" spans="1:25" ht="15.75" customHeight="1">
      <c r="A362" s="11" t="s">
        <v>18</v>
      </c>
      <c r="B362" s="11">
        <v>700026100</v>
      </c>
      <c r="C362" s="11">
        <v>7000342</v>
      </c>
      <c r="D362" s="11">
        <v>5411</v>
      </c>
      <c r="E362" s="11">
        <v>-68.4467547</v>
      </c>
      <c r="F362" s="11">
        <v>-31.526962000000001</v>
      </c>
      <c r="G362" s="11" t="s">
        <v>331</v>
      </c>
      <c r="H362" s="11" t="s">
        <v>20</v>
      </c>
      <c r="I362" s="11">
        <v>7.57</v>
      </c>
      <c r="J362" s="11">
        <f t="shared" si="84"/>
        <v>2</v>
      </c>
      <c r="K362" s="11">
        <v>8</v>
      </c>
      <c r="L362" s="11">
        <f t="shared" si="85"/>
        <v>2</v>
      </c>
      <c r="M362" s="12">
        <v>1.0416666666666666E-2</v>
      </c>
      <c r="N362" s="11">
        <v>3</v>
      </c>
      <c r="O362" s="11" t="str">
        <f t="shared" si="87"/>
        <v>DISTINTO</v>
      </c>
      <c r="P362" s="11" t="s">
        <v>325</v>
      </c>
      <c r="Q362" s="11" t="s">
        <v>22</v>
      </c>
      <c r="R362" s="11" t="s">
        <v>23</v>
      </c>
      <c r="S362" s="6"/>
      <c r="T362" s="6"/>
      <c r="U362" s="6"/>
      <c r="V362" s="6"/>
      <c r="W362" s="6"/>
      <c r="X362" s="6"/>
      <c r="Y362" s="6"/>
    </row>
    <row r="363" spans="1:25" ht="15.75" customHeight="1">
      <c r="A363" s="7" t="s">
        <v>18</v>
      </c>
      <c r="B363" s="7">
        <v>700025500</v>
      </c>
      <c r="C363" s="7">
        <v>7000343</v>
      </c>
      <c r="D363" s="7">
        <v>5411</v>
      </c>
      <c r="E363" s="7">
        <v>-68.503077200000007</v>
      </c>
      <c r="F363" s="7">
        <v>-31.511838600000001</v>
      </c>
      <c r="G363" s="7" t="s">
        <v>332</v>
      </c>
      <c r="H363" s="7" t="s">
        <v>20</v>
      </c>
      <c r="I363" s="7">
        <v>3.59</v>
      </c>
      <c r="J363" s="35">
        <f t="shared" si="84"/>
        <v>1</v>
      </c>
      <c r="K363" s="7">
        <v>5</v>
      </c>
      <c r="L363" s="35">
        <f t="shared" si="85"/>
        <v>2</v>
      </c>
      <c r="M363" s="9">
        <v>3.9583333333333331E-2</v>
      </c>
      <c r="N363" s="7">
        <v>2</v>
      </c>
      <c r="O363" s="35" t="str">
        <f t="shared" ref="O363:O365" si="88">IF(AVERAGE(J363,L363)=N363,"COINCIDE",IF(L363=N363,"INCONGRUENTE","DISTINTO"))</f>
        <v>INCONGRUENTE</v>
      </c>
      <c r="P363" s="7" t="s">
        <v>325</v>
      </c>
      <c r="Q363" s="7" t="s">
        <v>22</v>
      </c>
      <c r="R363" s="7" t="s">
        <v>23</v>
      </c>
      <c r="S363" s="6"/>
      <c r="T363" s="6"/>
      <c r="U363" s="6"/>
      <c r="V363" s="6"/>
      <c r="W363" s="6"/>
      <c r="X363" s="6"/>
      <c r="Y363" s="6"/>
    </row>
    <row r="364" spans="1:25" ht="15.75" customHeight="1">
      <c r="A364" s="13" t="s">
        <v>18</v>
      </c>
      <c r="B364" s="13">
        <v>700025600</v>
      </c>
      <c r="C364" s="13">
        <v>7000344</v>
      </c>
      <c r="D364" s="13">
        <v>5411</v>
      </c>
      <c r="E364" s="13">
        <v>-68.506605699999994</v>
      </c>
      <c r="F364" s="13">
        <v>-31.527094200000001</v>
      </c>
      <c r="G364" s="13" t="s">
        <v>333</v>
      </c>
      <c r="H364" s="13" t="s">
        <v>20</v>
      </c>
      <c r="I364" s="13">
        <v>2.1</v>
      </c>
      <c r="J364" s="13">
        <f t="shared" si="84"/>
        <v>1</v>
      </c>
      <c r="K364" s="13">
        <v>3</v>
      </c>
      <c r="L364" s="13">
        <f t="shared" si="85"/>
        <v>1</v>
      </c>
      <c r="M364" s="14">
        <v>5.5555555555555558E-3</v>
      </c>
      <c r="N364" s="13">
        <v>1</v>
      </c>
      <c r="O364" s="13" t="str">
        <f t="shared" si="88"/>
        <v>COINCIDE</v>
      </c>
      <c r="P364" s="13" t="s">
        <v>325</v>
      </c>
      <c r="Q364" s="13" t="s">
        <v>22</v>
      </c>
      <c r="R364" s="13" t="s">
        <v>23</v>
      </c>
      <c r="S364" s="6"/>
      <c r="T364" s="6"/>
      <c r="U364" s="6"/>
      <c r="V364" s="6"/>
      <c r="W364" s="6"/>
      <c r="X364" s="6"/>
      <c r="Y364" s="6"/>
    </row>
    <row r="365" spans="1:25" ht="15.75" customHeight="1">
      <c r="A365" s="13" t="s">
        <v>18</v>
      </c>
      <c r="B365" s="13">
        <v>700041300</v>
      </c>
      <c r="C365" s="13">
        <v>7000345</v>
      </c>
      <c r="D365" s="13">
        <v>5411</v>
      </c>
      <c r="E365" s="13">
        <v>-68.467933700000003</v>
      </c>
      <c r="F365" s="13">
        <v>-31.5337885</v>
      </c>
      <c r="G365" s="13" t="s">
        <v>334</v>
      </c>
      <c r="H365" s="13" t="s">
        <v>20</v>
      </c>
      <c r="I365" s="13">
        <v>5.5</v>
      </c>
      <c r="J365" s="13">
        <f t="shared" si="84"/>
        <v>2</v>
      </c>
      <c r="K365" s="13">
        <v>6</v>
      </c>
      <c r="L365" s="13">
        <f t="shared" si="85"/>
        <v>2</v>
      </c>
      <c r="M365" s="14">
        <v>9.7222222222222224E-3</v>
      </c>
      <c r="N365" s="13">
        <v>2</v>
      </c>
      <c r="O365" s="13" t="str">
        <f t="shared" si="88"/>
        <v>COINCIDE</v>
      </c>
      <c r="P365" s="13" t="s">
        <v>325</v>
      </c>
      <c r="Q365" s="13" t="s">
        <v>22</v>
      </c>
      <c r="R365" s="13" t="s">
        <v>23</v>
      </c>
      <c r="S365" s="6"/>
      <c r="T365" s="6"/>
      <c r="U365" s="6"/>
      <c r="V365" s="6"/>
      <c r="W365" s="6"/>
      <c r="X365" s="6"/>
      <c r="Y365" s="6"/>
    </row>
    <row r="366" spans="1:25" ht="15.75" customHeight="1">
      <c r="A366" s="11" t="s">
        <v>18</v>
      </c>
      <c r="B366" s="11">
        <v>700000400</v>
      </c>
      <c r="C366" s="11">
        <v>7000347</v>
      </c>
      <c r="D366" s="11">
        <v>5411</v>
      </c>
      <c r="E366" s="11">
        <v>-68.486628600000003</v>
      </c>
      <c r="F366" s="11">
        <v>-31.504795600000001</v>
      </c>
      <c r="G366" s="11" t="s">
        <v>335</v>
      </c>
      <c r="H366" s="11" t="s">
        <v>20</v>
      </c>
      <c r="I366" s="11">
        <v>5.2</v>
      </c>
      <c r="J366" s="11">
        <f t="shared" si="84"/>
        <v>2</v>
      </c>
      <c r="K366" s="11">
        <v>8</v>
      </c>
      <c r="L366" s="11">
        <f t="shared" si="85"/>
        <v>2</v>
      </c>
      <c r="M366" s="12">
        <v>9.7222222222222224E-3</v>
      </c>
      <c r="N366" s="11">
        <v>3</v>
      </c>
      <c r="O366" s="11" t="str">
        <f>IF(AVERAGE(J366,L366)=N366,"COINCIDE",IF(L366=N366,"INCONGRUENTE",IF(N366=7,"COINCIDE","DISTINTO")))</f>
        <v>DISTINTO</v>
      </c>
      <c r="P366" s="11" t="s">
        <v>325</v>
      </c>
      <c r="Q366" s="11" t="s">
        <v>22</v>
      </c>
      <c r="R366" s="11" t="s">
        <v>23</v>
      </c>
      <c r="S366" s="6"/>
      <c r="T366" s="6"/>
      <c r="U366" s="6"/>
      <c r="V366" s="6"/>
      <c r="W366" s="6"/>
      <c r="X366" s="6"/>
      <c r="Y366" s="6"/>
    </row>
    <row r="367" spans="1:25" ht="15" customHeight="1">
      <c r="A367" s="13" t="s">
        <v>336</v>
      </c>
      <c r="B367" s="13">
        <v>700076700</v>
      </c>
      <c r="C367" s="13">
        <v>7000664</v>
      </c>
      <c r="D367" s="13">
        <v>5411</v>
      </c>
      <c r="E367" s="13">
        <v>-68.491443200000006</v>
      </c>
      <c r="F367" s="13">
        <v>-31.529219399999999</v>
      </c>
      <c r="G367" s="13" t="s">
        <v>325</v>
      </c>
      <c r="H367" s="13" t="s">
        <v>20</v>
      </c>
      <c r="I367" s="13">
        <v>3.36</v>
      </c>
      <c r="J367" s="13">
        <f t="shared" si="84"/>
        <v>1</v>
      </c>
      <c r="K367" s="13">
        <v>4</v>
      </c>
      <c r="L367" s="24">
        <f t="shared" si="85"/>
        <v>1</v>
      </c>
      <c r="M367" s="14">
        <v>6.9444444444444441E-3</v>
      </c>
      <c r="N367" s="13">
        <v>1</v>
      </c>
      <c r="O367" s="13" t="str">
        <f>IF(AVERAGE(J367,L367)=N367,"COINCIDE",IF(L367=N367,"INCONGRUENTE","DISTINTO"))</f>
        <v>COINCIDE</v>
      </c>
      <c r="P367" s="13" t="s">
        <v>325</v>
      </c>
      <c r="Q367" s="13" t="s">
        <v>22</v>
      </c>
      <c r="R367" s="13" t="s">
        <v>23</v>
      </c>
      <c r="S367" s="6"/>
      <c r="T367" s="6"/>
      <c r="U367" s="6"/>
      <c r="V367" s="6"/>
      <c r="W367" s="6"/>
      <c r="X367" s="6"/>
      <c r="Y367" s="6"/>
    </row>
    <row r="368" spans="1:25" ht="15.75" customHeight="1">
      <c r="A368" s="15" t="s">
        <v>18</v>
      </c>
      <c r="B368" s="15">
        <v>700009200</v>
      </c>
      <c r="C368" s="15">
        <v>7000152</v>
      </c>
      <c r="D368" s="15">
        <v>5442</v>
      </c>
      <c r="E368" s="15">
        <v>-68.3134266</v>
      </c>
      <c r="F368" s="15">
        <v>-31.623788399999999</v>
      </c>
      <c r="G368" s="15" t="s">
        <v>228</v>
      </c>
      <c r="H368" s="15" t="s">
        <v>222</v>
      </c>
      <c r="I368" s="15">
        <v>4.25</v>
      </c>
      <c r="J368" s="13">
        <f>IF(I368&lt;=2,3,IF(I368&lt;=40,4,IF(I368&lt;=80,5,6)))</f>
        <v>4</v>
      </c>
      <c r="K368" s="15">
        <v>5</v>
      </c>
      <c r="L368" s="13">
        <f>IF(K368&lt;=2,3,IF(K368&lt;=40,4,IF(K368&lt;=80,5,6)))</f>
        <v>4</v>
      </c>
      <c r="M368" s="16">
        <v>4.8611111111111112E-3</v>
      </c>
      <c r="N368" s="15">
        <v>4</v>
      </c>
      <c r="O368" s="13" t="str">
        <f t="shared" ref="O368:O369" si="89">IF(AVERAGE(J368,L368)=N368,"COINCIDE",IF(L368=N368,"INCONGRUENTE",IF(N368=7,"COINCIDE","DISTINTO")))</f>
        <v>COINCIDE</v>
      </c>
      <c r="P368" s="15" t="s">
        <v>221</v>
      </c>
      <c r="Q368" s="15" t="s">
        <v>22</v>
      </c>
      <c r="R368" s="15" t="s">
        <v>23</v>
      </c>
      <c r="S368" s="6"/>
      <c r="T368" s="6"/>
      <c r="U368" s="6"/>
      <c r="V368" s="6"/>
      <c r="W368" s="6"/>
      <c r="X368" s="6"/>
      <c r="Y368" s="6"/>
    </row>
    <row r="369" spans="1:25" ht="15.75" customHeight="1">
      <c r="A369" s="32" t="s">
        <v>64</v>
      </c>
      <c r="B369" s="32">
        <v>700025800</v>
      </c>
      <c r="C369" s="32">
        <v>7100001</v>
      </c>
      <c r="D369" s="32">
        <v>5411</v>
      </c>
      <c r="E369" s="32">
        <v>-68.498638099999994</v>
      </c>
      <c r="F369" s="32">
        <v>-31.528684800000001</v>
      </c>
      <c r="G369" s="32" t="s">
        <v>325</v>
      </c>
      <c r="H369" s="32" t="s">
        <v>20</v>
      </c>
      <c r="I369" s="32">
        <v>2.74</v>
      </c>
      <c r="J369" s="32">
        <f t="shared" ref="J369:J386" si="90">IF(I369&lt;=4,1,IF(I369&lt;=10,2,IF(I369&lt;=20,3,IF(I369&lt;=40,4,IF(I369&lt;=80,5,6)))))</f>
        <v>1</v>
      </c>
      <c r="K369" s="32">
        <v>4</v>
      </c>
      <c r="L369" s="32">
        <f t="shared" ref="L369:L386" si="91">IF(K369&lt;=4,1,IF(K369&lt;=10,2,IF(K369&lt;=20,3,IF(K369&lt;=40,4,IF(K369&lt;=80,5,6)))))</f>
        <v>1</v>
      </c>
      <c r="M369" s="69">
        <v>5.5555555555555558E-3</v>
      </c>
      <c r="N369" s="32">
        <v>2</v>
      </c>
      <c r="O369" s="32" t="str">
        <f t="shared" si="89"/>
        <v>DISTINTO</v>
      </c>
      <c r="P369" s="32" t="s">
        <v>325</v>
      </c>
      <c r="Q369" s="32" t="s">
        <v>22</v>
      </c>
      <c r="R369" s="32" t="s">
        <v>23</v>
      </c>
      <c r="S369" s="6"/>
      <c r="T369" s="6"/>
      <c r="U369" s="6"/>
      <c r="V369" s="6"/>
      <c r="W369" s="6"/>
      <c r="X369" s="6"/>
      <c r="Y369" s="6"/>
    </row>
    <row r="370" spans="1:25" ht="15.75" customHeight="1">
      <c r="A370" s="13" t="s">
        <v>18</v>
      </c>
      <c r="B370" s="13">
        <v>700000500</v>
      </c>
      <c r="C370" s="13" t="s">
        <v>337</v>
      </c>
      <c r="D370" s="13">
        <v>5411</v>
      </c>
      <c r="E370" s="13">
        <v>-68.467838499999999</v>
      </c>
      <c r="F370" s="13">
        <v>-31.5542342</v>
      </c>
      <c r="G370" s="13" t="s">
        <v>338</v>
      </c>
      <c r="H370" s="13" t="s">
        <v>20</v>
      </c>
      <c r="I370" s="13">
        <v>5.62</v>
      </c>
      <c r="J370" s="13">
        <f t="shared" si="90"/>
        <v>2</v>
      </c>
      <c r="K370" s="13">
        <v>8</v>
      </c>
      <c r="L370" s="13">
        <f t="shared" si="91"/>
        <v>2</v>
      </c>
      <c r="M370" s="14">
        <v>8.3333333333333332E-3</v>
      </c>
      <c r="N370" s="13">
        <v>2</v>
      </c>
      <c r="O370" s="13" t="str">
        <f>IF(AVERAGE(J370,L370)=N370,"COINCIDE",IF(L370=N370,"INCONGRUENTE","DISTINTO"))</f>
        <v>COINCIDE</v>
      </c>
      <c r="P370" s="13" t="s">
        <v>325</v>
      </c>
      <c r="Q370" s="13" t="s">
        <v>22</v>
      </c>
      <c r="R370" s="13" t="s">
        <v>23</v>
      </c>
      <c r="S370" s="6"/>
      <c r="T370" s="6"/>
      <c r="U370" s="6"/>
      <c r="V370" s="6"/>
      <c r="W370" s="6"/>
      <c r="X370" s="6"/>
      <c r="Y370" s="6"/>
    </row>
    <row r="371" spans="1:25" ht="15.75" customHeight="1">
      <c r="A371" s="11" t="s">
        <v>18</v>
      </c>
      <c r="B371" s="11">
        <v>700026000</v>
      </c>
      <c r="C371" s="11" t="s">
        <v>339</v>
      </c>
      <c r="D371" s="11">
        <v>5411</v>
      </c>
      <c r="E371" s="11">
        <v>-68.464957100000007</v>
      </c>
      <c r="F371" s="11">
        <v>-31.510173000000002</v>
      </c>
      <c r="G371" s="11" t="s">
        <v>340</v>
      </c>
      <c r="H371" s="11" t="s">
        <v>20</v>
      </c>
      <c r="I371" s="11">
        <v>6.53</v>
      </c>
      <c r="J371" s="11">
        <f t="shared" si="90"/>
        <v>2</v>
      </c>
      <c r="K371" s="11">
        <v>8</v>
      </c>
      <c r="L371" s="11">
        <f t="shared" si="91"/>
        <v>2</v>
      </c>
      <c r="M371" s="12">
        <v>1.1111111111111112E-2</v>
      </c>
      <c r="N371" s="11">
        <v>3</v>
      </c>
      <c r="O371" s="11" t="str">
        <f t="shared" ref="O371:O372" si="92">IF(AVERAGE(J371,L371)=N371,"COINCIDE",IF(L371=N371,"INCONGRUENTE",IF(N371=7,"COINCIDE","DISTINTO")))</f>
        <v>DISTINTO</v>
      </c>
      <c r="P371" s="11" t="s">
        <v>325</v>
      </c>
      <c r="Q371" s="11" t="s">
        <v>22</v>
      </c>
      <c r="R371" s="11" t="s">
        <v>23</v>
      </c>
      <c r="S371" s="6"/>
      <c r="T371" s="6"/>
      <c r="U371" s="6"/>
      <c r="V371" s="6"/>
      <c r="W371" s="6"/>
      <c r="X371" s="6"/>
      <c r="Y371" s="6"/>
    </row>
    <row r="372" spans="1:25" ht="16.5" customHeight="1">
      <c r="A372" s="13" t="s">
        <v>40</v>
      </c>
      <c r="B372" s="13">
        <v>700027300</v>
      </c>
      <c r="C372" s="13" t="s">
        <v>341</v>
      </c>
      <c r="D372" s="13">
        <v>5411</v>
      </c>
      <c r="E372" s="13">
        <v>-68.502657299999996</v>
      </c>
      <c r="F372" s="13">
        <v>-31.5464989</v>
      </c>
      <c r="G372" s="13" t="s">
        <v>325</v>
      </c>
      <c r="H372" s="13" t="s">
        <v>20</v>
      </c>
      <c r="I372" s="13">
        <v>2.38</v>
      </c>
      <c r="J372" s="13">
        <f t="shared" si="90"/>
        <v>1</v>
      </c>
      <c r="K372" s="13">
        <v>4</v>
      </c>
      <c r="L372" s="13">
        <f t="shared" si="91"/>
        <v>1</v>
      </c>
      <c r="M372" s="14">
        <v>6.9444444444444441E-3</v>
      </c>
      <c r="N372" s="13">
        <v>1</v>
      </c>
      <c r="O372" s="13" t="str">
        <f t="shared" si="92"/>
        <v>COINCIDE</v>
      </c>
      <c r="P372" s="13" t="s">
        <v>325</v>
      </c>
      <c r="Q372" s="13" t="s">
        <v>22</v>
      </c>
      <c r="R372" s="13" t="s">
        <v>23</v>
      </c>
      <c r="S372" s="6"/>
      <c r="T372" s="6"/>
      <c r="U372" s="6"/>
      <c r="V372" s="6"/>
      <c r="W372" s="6"/>
      <c r="X372" s="6"/>
      <c r="Y372" s="6"/>
    </row>
    <row r="373" spans="1:25" ht="15.75" customHeight="1">
      <c r="A373" s="24" t="s">
        <v>64</v>
      </c>
      <c r="B373" s="24">
        <v>700083000</v>
      </c>
      <c r="C373" s="24" t="s">
        <v>342</v>
      </c>
      <c r="D373" s="24">
        <v>5411</v>
      </c>
      <c r="E373" s="24">
        <v>-68.495616699999999</v>
      </c>
      <c r="F373" s="24">
        <v>-31.543944400000001</v>
      </c>
      <c r="G373" s="24" t="s">
        <v>325</v>
      </c>
      <c r="H373" s="24" t="s">
        <v>20</v>
      </c>
      <c r="I373" s="24">
        <v>2.96</v>
      </c>
      <c r="J373" s="24">
        <f t="shared" si="90"/>
        <v>1</v>
      </c>
      <c r="K373" s="24">
        <v>4</v>
      </c>
      <c r="L373" s="24">
        <f t="shared" si="91"/>
        <v>1</v>
      </c>
      <c r="M373" s="25">
        <v>6.9444444444444441E-3</v>
      </c>
      <c r="N373" s="24">
        <v>1</v>
      </c>
      <c r="O373" s="24" t="str">
        <f t="shared" ref="O373:O384" si="93">IF(AVERAGE(J373,L373)=N373,"COINCIDE",IF(L373=N373,"INCONGRUENTE","DISTINTO"))</f>
        <v>COINCIDE</v>
      </c>
      <c r="P373" s="24" t="s">
        <v>325</v>
      </c>
      <c r="Q373" s="24" t="s">
        <v>22</v>
      </c>
      <c r="R373" s="24" t="s">
        <v>23</v>
      </c>
      <c r="S373" s="6"/>
      <c r="T373" s="6"/>
      <c r="U373" s="6"/>
      <c r="V373" s="6"/>
      <c r="W373" s="6"/>
      <c r="X373" s="6"/>
      <c r="Y373" s="6"/>
    </row>
    <row r="374" spans="1:25" ht="15.75" customHeight="1">
      <c r="A374" s="13" t="s">
        <v>18</v>
      </c>
      <c r="B374" s="13">
        <v>700008500</v>
      </c>
      <c r="C374" s="13">
        <v>7000349</v>
      </c>
      <c r="D374" s="13">
        <v>5441</v>
      </c>
      <c r="E374" s="13">
        <v>-68.548709299999999</v>
      </c>
      <c r="F374" s="13">
        <v>-31.985641300000001</v>
      </c>
      <c r="G374" s="13" t="s">
        <v>343</v>
      </c>
      <c r="H374" s="13" t="s">
        <v>20</v>
      </c>
      <c r="I374" s="13">
        <v>49.9</v>
      </c>
      <c r="J374" s="13">
        <f t="shared" si="90"/>
        <v>5</v>
      </c>
      <c r="K374" s="13">
        <v>64</v>
      </c>
      <c r="L374" s="13">
        <f t="shared" si="91"/>
        <v>5</v>
      </c>
      <c r="M374" s="14">
        <v>3.6805555555555557E-2</v>
      </c>
      <c r="N374" s="13">
        <v>5</v>
      </c>
      <c r="O374" s="13" t="str">
        <f t="shared" si="93"/>
        <v>COINCIDE</v>
      </c>
      <c r="P374" s="13" t="s">
        <v>135</v>
      </c>
      <c r="Q374" s="13" t="s">
        <v>22</v>
      </c>
      <c r="R374" s="13" t="s">
        <v>23</v>
      </c>
      <c r="S374" s="6"/>
      <c r="T374" s="6"/>
      <c r="U374" s="6"/>
      <c r="V374" s="6"/>
      <c r="W374" s="6"/>
      <c r="X374" s="6"/>
      <c r="Y374" s="6"/>
    </row>
    <row r="375" spans="1:25" ht="15.75" customHeight="1">
      <c r="A375" s="7" t="s">
        <v>18</v>
      </c>
      <c r="B375" s="7">
        <v>700008400</v>
      </c>
      <c r="C375" s="7">
        <v>7000350</v>
      </c>
      <c r="D375" s="7">
        <v>5441</v>
      </c>
      <c r="E375" s="7">
        <v>-68.692323200000004</v>
      </c>
      <c r="F375" s="7">
        <v>-32.077125700000003</v>
      </c>
      <c r="G375" s="7" t="s">
        <v>344</v>
      </c>
      <c r="H375" s="7" t="s">
        <v>20</v>
      </c>
      <c r="I375" s="7">
        <v>62.2</v>
      </c>
      <c r="J375" s="35">
        <f t="shared" si="90"/>
        <v>5</v>
      </c>
      <c r="K375" s="7">
        <v>94</v>
      </c>
      <c r="L375" s="35">
        <f t="shared" si="91"/>
        <v>6</v>
      </c>
      <c r="M375" s="9">
        <v>5.6944444444444443E-2</v>
      </c>
      <c r="N375" s="7">
        <v>6</v>
      </c>
      <c r="O375" s="35" t="str">
        <f t="shared" si="93"/>
        <v>INCONGRUENTE</v>
      </c>
      <c r="P375" s="7" t="s">
        <v>135</v>
      </c>
      <c r="Q375" s="7" t="s">
        <v>22</v>
      </c>
      <c r="R375" s="7" t="s">
        <v>23</v>
      </c>
      <c r="S375" s="6"/>
      <c r="T375" s="6"/>
      <c r="U375" s="6"/>
      <c r="V375" s="6"/>
      <c r="W375" s="6"/>
      <c r="X375" s="6"/>
      <c r="Y375" s="6"/>
    </row>
    <row r="376" spans="1:25" ht="15.75" customHeight="1">
      <c r="A376" s="13" t="s">
        <v>18</v>
      </c>
      <c r="B376" s="13">
        <v>700013700</v>
      </c>
      <c r="C376" s="13">
        <v>7000351</v>
      </c>
      <c r="D376" s="13">
        <v>5441</v>
      </c>
      <c r="E376" s="13">
        <v>-68.365089600000005</v>
      </c>
      <c r="F376" s="13">
        <v>-31.965985199999999</v>
      </c>
      <c r="G376" s="13" t="s">
        <v>345</v>
      </c>
      <c r="H376" s="13" t="s">
        <v>20</v>
      </c>
      <c r="I376" s="13">
        <v>49.8</v>
      </c>
      <c r="J376" s="13">
        <f t="shared" si="90"/>
        <v>5</v>
      </c>
      <c r="K376" s="13">
        <v>62</v>
      </c>
      <c r="L376" s="13">
        <f t="shared" si="91"/>
        <v>5</v>
      </c>
      <c r="M376" s="14">
        <v>3.7499999999999999E-2</v>
      </c>
      <c r="N376" s="13">
        <v>5</v>
      </c>
      <c r="O376" s="13" t="str">
        <f t="shared" si="93"/>
        <v>COINCIDE</v>
      </c>
      <c r="P376" s="13" t="s">
        <v>135</v>
      </c>
      <c r="Q376" s="13" t="s">
        <v>22</v>
      </c>
      <c r="R376" s="13" t="s">
        <v>23</v>
      </c>
      <c r="S376" s="6"/>
      <c r="T376" s="6"/>
      <c r="U376" s="6"/>
      <c r="V376" s="6"/>
      <c r="W376" s="6"/>
      <c r="X376" s="6"/>
      <c r="Y376" s="6"/>
    </row>
    <row r="377" spans="1:25" ht="15.75" customHeight="1">
      <c r="A377" s="13" t="s">
        <v>18</v>
      </c>
      <c r="B377" s="13">
        <v>700013800</v>
      </c>
      <c r="C377" s="13">
        <v>7000352</v>
      </c>
      <c r="D377" s="13">
        <v>5441</v>
      </c>
      <c r="E377" s="13">
        <v>-68.322252500000005</v>
      </c>
      <c r="F377" s="13">
        <v>-31.965568099999999</v>
      </c>
      <c r="G377" s="13" t="s">
        <v>345</v>
      </c>
      <c r="H377" s="13" t="s">
        <v>20</v>
      </c>
      <c r="I377" s="13">
        <v>51.6</v>
      </c>
      <c r="J377" s="13">
        <f t="shared" si="90"/>
        <v>5</v>
      </c>
      <c r="K377" s="13">
        <v>66</v>
      </c>
      <c r="L377" s="13">
        <f t="shared" si="91"/>
        <v>5</v>
      </c>
      <c r="M377" s="14">
        <v>4.027777777777778E-2</v>
      </c>
      <c r="N377" s="13">
        <v>5</v>
      </c>
      <c r="O377" s="13" t="str">
        <f t="shared" si="93"/>
        <v>COINCIDE</v>
      </c>
      <c r="P377" s="13" t="s">
        <v>135</v>
      </c>
      <c r="Q377" s="13" t="s">
        <v>22</v>
      </c>
      <c r="R377" s="13" t="s">
        <v>23</v>
      </c>
      <c r="S377" s="6"/>
      <c r="T377" s="6"/>
      <c r="U377" s="6"/>
      <c r="V377" s="6"/>
      <c r="W377" s="6"/>
      <c r="X377" s="6"/>
      <c r="Y377" s="6"/>
    </row>
    <row r="378" spans="1:25" ht="15.75" customHeight="1">
      <c r="A378" s="7" t="s">
        <v>18</v>
      </c>
      <c r="B378" s="7">
        <v>700048100</v>
      </c>
      <c r="C378" s="7">
        <v>7000353</v>
      </c>
      <c r="D378" s="7">
        <v>5441</v>
      </c>
      <c r="E378" s="7">
        <v>-68.3859432</v>
      </c>
      <c r="F378" s="7">
        <v>-31.869427000000002</v>
      </c>
      <c r="G378" s="7" t="s">
        <v>345</v>
      </c>
      <c r="H378" s="7" t="s">
        <v>20</v>
      </c>
      <c r="I378" s="7">
        <v>39.4</v>
      </c>
      <c r="J378" s="35">
        <f t="shared" si="90"/>
        <v>4</v>
      </c>
      <c r="K378" s="7">
        <v>51</v>
      </c>
      <c r="L378" s="35">
        <f t="shared" si="91"/>
        <v>5</v>
      </c>
      <c r="M378" s="9">
        <v>3.2638888888888891E-2</v>
      </c>
      <c r="N378" s="7">
        <v>5</v>
      </c>
      <c r="O378" s="35" t="str">
        <f t="shared" si="93"/>
        <v>INCONGRUENTE</v>
      </c>
      <c r="P378" s="7" t="s">
        <v>135</v>
      </c>
      <c r="Q378" s="7" t="s">
        <v>22</v>
      </c>
      <c r="R378" s="7" t="s">
        <v>23</v>
      </c>
      <c r="S378" s="6"/>
      <c r="T378" s="6"/>
      <c r="U378" s="6"/>
      <c r="V378" s="6"/>
      <c r="W378" s="6"/>
      <c r="X378" s="6"/>
      <c r="Y378" s="6"/>
    </row>
    <row r="379" spans="1:25" ht="15.75" customHeight="1">
      <c r="A379" s="13" t="s">
        <v>18</v>
      </c>
      <c r="B379" s="13">
        <v>700048300</v>
      </c>
      <c r="C379" s="13">
        <v>7000355</v>
      </c>
      <c r="D379" s="13">
        <v>5441</v>
      </c>
      <c r="E379" s="13">
        <v>-68.372436100000002</v>
      </c>
      <c r="F379" s="13">
        <v>-31.913306899999998</v>
      </c>
      <c r="G379" s="13" t="s">
        <v>345</v>
      </c>
      <c r="H379" s="13" t="s">
        <v>20</v>
      </c>
      <c r="I379" s="13">
        <v>44.8</v>
      </c>
      <c r="J379" s="13">
        <f t="shared" si="90"/>
        <v>5</v>
      </c>
      <c r="K379" s="13">
        <v>57</v>
      </c>
      <c r="L379" s="13">
        <f t="shared" si="91"/>
        <v>5</v>
      </c>
      <c r="M379" s="14">
        <v>3.4027777777777775E-2</v>
      </c>
      <c r="N379" s="13">
        <v>5</v>
      </c>
      <c r="O379" s="13" t="str">
        <f t="shared" si="93"/>
        <v>COINCIDE</v>
      </c>
      <c r="P379" s="13" t="s">
        <v>135</v>
      </c>
      <c r="Q379" s="13" t="s">
        <v>22</v>
      </c>
      <c r="R379" s="13" t="s">
        <v>23</v>
      </c>
      <c r="S379" s="6"/>
      <c r="T379" s="6"/>
      <c r="U379" s="6"/>
      <c r="V379" s="6"/>
      <c r="W379" s="6"/>
      <c r="X379" s="6"/>
      <c r="Y379" s="6"/>
    </row>
    <row r="380" spans="1:25" ht="15.75" customHeight="1">
      <c r="A380" s="13" t="s">
        <v>18</v>
      </c>
      <c r="B380" s="13">
        <v>700013000</v>
      </c>
      <c r="C380" s="13">
        <v>7000356</v>
      </c>
      <c r="D380" s="13">
        <v>5441</v>
      </c>
      <c r="E380" s="13">
        <v>-68.408623199999994</v>
      </c>
      <c r="F380" s="13">
        <v>-31.921479999999999</v>
      </c>
      <c r="G380" s="13" t="s">
        <v>345</v>
      </c>
      <c r="H380" s="13" t="s">
        <v>20</v>
      </c>
      <c r="I380" s="13">
        <v>43.9</v>
      </c>
      <c r="J380" s="13">
        <f t="shared" si="90"/>
        <v>5</v>
      </c>
      <c r="K380" s="13">
        <v>54</v>
      </c>
      <c r="L380" s="13">
        <f t="shared" si="91"/>
        <v>5</v>
      </c>
      <c r="M380" s="14">
        <v>3.2638888888888891E-2</v>
      </c>
      <c r="N380" s="13">
        <v>5</v>
      </c>
      <c r="O380" s="13" t="str">
        <f t="shared" si="93"/>
        <v>COINCIDE</v>
      </c>
      <c r="P380" s="13" t="s">
        <v>135</v>
      </c>
      <c r="Q380" s="13" t="s">
        <v>22</v>
      </c>
      <c r="R380" s="13" t="s">
        <v>23</v>
      </c>
      <c r="S380" s="6"/>
      <c r="T380" s="6"/>
      <c r="U380" s="6"/>
      <c r="V380" s="6"/>
      <c r="W380" s="6"/>
      <c r="X380" s="6"/>
      <c r="Y380" s="6"/>
    </row>
    <row r="381" spans="1:25" ht="15.75" customHeight="1">
      <c r="A381" s="13" t="s">
        <v>18</v>
      </c>
      <c r="B381" s="13">
        <v>700013900</v>
      </c>
      <c r="C381" s="13">
        <v>7000357</v>
      </c>
      <c r="D381" s="13">
        <v>5441</v>
      </c>
      <c r="E381" s="13">
        <v>-68.392934400000001</v>
      </c>
      <c r="F381" s="13">
        <v>-32.0206856</v>
      </c>
      <c r="G381" s="13" t="s">
        <v>346</v>
      </c>
      <c r="H381" s="13" t="s">
        <v>20</v>
      </c>
      <c r="I381" s="13">
        <v>55.3</v>
      </c>
      <c r="J381" s="13">
        <f t="shared" si="90"/>
        <v>5</v>
      </c>
      <c r="K381" s="13">
        <v>63</v>
      </c>
      <c r="L381" s="13">
        <f t="shared" si="91"/>
        <v>5</v>
      </c>
      <c r="M381" s="14">
        <v>3.8194444444444441E-2</v>
      </c>
      <c r="N381" s="13">
        <v>5</v>
      </c>
      <c r="O381" s="13" t="str">
        <f t="shared" si="93"/>
        <v>COINCIDE</v>
      </c>
      <c r="P381" s="13" t="s">
        <v>135</v>
      </c>
      <c r="Q381" s="13" t="s">
        <v>22</v>
      </c>
      <c r="R381" s="13" t="s">
        <v>23</v>
      </c>
      <c r="S381" s="6"/>
      <c r="T381" s="6"/>
      <c r="U381" s="6"/>
      <c r="V381" s="6"/>
      <c r="W381" s="6"/>
      <c r="X381" s="6"/>
      <c r="Y381" s="6"/>
    </row>
    <row r="382" spans="1:25" ht="15.75" customHeight="1">
      <c r="A382" s="13" t="s">
        <v>18</v>
      </c>
      <c r="B382" s="13">
        <v>700048400</v>
      </c>
      <c r="C382" s="13">
        <v>7000358</v>
      </c>
      <c r="D382" s="13">
        <v>5441</v>
      </c>
      <c r="E382" s="13">
        <v>-68.475002000000003</v>
      </c>
      <c r="F382" s="13">
        <v>-31.9489798</v>
      </c>
      <c r="G382" s="13" t="s">
        <v>347</v>
      </c>
      <c r="H382" s="13" t="s">
        <v>20</v>
      </c>
      <c r="I382" s="13">
        <v>46.1</v>
      </c>
      <c r="J382" s="13">
        <f t="shared" si="90"/>
        <v>5</v>
      </c>
      <c r="K382" s="13">
        <v>49</v>
      </c>
      <c r="L382" s="13">
        <f t="shared" si="91"/>
        <v>5</v>
      </c>
      <c r="M382" s="14">
        <v>2.9166666666666664E-2</v>
      </c>
      <c r="N382" s="13">
        <v>5</v>
      </c>
      <c r="O382" s="13" t="str">
        <f t="shared" si="93"/>
        <v>COINCIDE</v>
      </c>
      <c r="P382" s="13" t="s">
        <v>135</v>
      </c>
      <c r="Q382" s="13" t="s">
        <v>22</v>
      </c>
      <c r="R382" s="13" t="s">
        <v>23</v>
      </c>
      <c r="S382" s="6"/>
      <c r="T382" s="6"/>
      <c r="U382" s="6"/>
      <c r="V382" s="6"/>
      <c r="W382" s="6"/>
      <c r="X382" s="6"/>
      <c r="Y382" s="6"/>
    </row>
    <row r="383" spans="1:25" ht="15.75" customHeight="1">
      <c r="A383" s="13" t="s">
        <v>18</v>
      </c>
      <c r="B383" s="13">
        <v>700048500</v>
      </c>
      <c r="C383" s="13">
        <v>7000359</v>
      </c>
      <c r="D383" s="13">
        <v>5441</v>
      </c>
      <c r="E383" s="13">
        <v>-68.474371500000004</v>
      </c>
      <c r="F383" s="13">
        <v>-31.902826300000001</v>
      </c>
      <c r="G383" s="13" t="s">
        <v>347</v>
      </c>
      <c r="H383" s="13" t="s">
        <v>20</v>
      </c>
      <c r="I383" s="13">
        <v>41.3</v>
      </c>
      <c r="J383" s="13">
        <f t="shared" si="90"/>
        <v>5</v>
      </c>
      <c r="K383" s="13">
        <v>47</v>
      </c>
      <c r="L383" s="13">
        <f t="shared" si="91"/>
        <v>5</v>
      </c>
      <c r="M383" s="14">
        <v>2.9166666666666664E-2</v>
      </c>
      <c r="N383" s="13">
        <v>5</v>
      </c>
      <c r="O383" s="13" t="str">
        <f t="shared" si="93"/>
        <v>COINCIDE</v>
      </c>
      <c r="P383" s="13" t="s">
        <v>135</v>
      </c>
      <c r="Q383" s="13" t="s">
        <v>22</v>
      </c>
      <c r="R383" s="13" t="s">
        <v>23</v>
      </c>
      <c r="S383" s="6"/>
      <c r="T383" s="6"/>
      <c r="U383" s="6"/>
      <c r="V383" s="6"/>
      <c r="W383" s="6"/>
      <c r="X383" s="6"/>
      <c r="Y383" s="6"/>
    </row>
    <row r="384" spans="1:25" ht="15.75" customHeight="1">
      <c r="A384" s="9">
        <v>4.1666666666666664E-2</v>
      </c>
      <c r="B384" s="7">
        <v>700039100</v>
      </c>
      <c r="C384" s="7">
        <v>7000361</v>
      </c>
      <c r="D384" s="7">
        <v>5441</v>
      </c>
      <c r="E384" s="7">
        <v>-68.696594300000001</v>
      </c>
      <c r="F384" s="7">
        <v>-32.0012738</v>
      </c>
      <c r="G384" s="7" t="s">
        <v>348</v>
      </c>
      <c r="H384" s="7" t="s">
        <v>20</v>
      </c>
      <c r="I384" s="7">
        <v>53.9</v>
      </c>
      <c r="J384" s="35">
        <f t="shared" si="90"/>
        <v>5</v>
      </c>
      <c r="K384" s="7">
        <v>83</v>
      </c>
      <c r="L384" s="35">
        <f t="shared" si="91"/>
        <v>6</v>
      </c>
      <c r="M384" s="9">
        <v>4.8611111111111112E-2</v>
      </c>
      <c r="N384" s="7">
        <v>6</v>
      </c>
      <c r="O384" s="35" t="str">
        <f t="shared" si="93"/>
        <v>INCONGRUENTE</v>
      </c>
      <c r="P384" s="7" t="s">
        <v>135</v>
      </c>
      <c r="Q384" s="7" t="s">
        <v>22</v>
      </c>
      <c r="R384" s="7" t="s">
        <v>23</v>
      </c>
      <c r="S384" s="6"/>
      <c r="T384" s="6"/>
      <c r="U384" s="6"/>
      <c r="V384" s="6"/>
      <c r="W384" s="6"/>
      <c r="X384" s="6"/>
      <c r="Y384" s="6"/>
    </row>
    <row r="385" spans="1:25" ht="15.75" customHeight="1">
      <c r="A385" s="11" t="s">
        <v>18</v>
      </c>
      <c r="B385" s="11">
        <v>700008300</v>
      </c>
      <c r="C385" s="11">
        <v>7000362</v>
      </c>
      <c r="D385" s="11">
        <v>5441</v>
      </c>
      <c r="E385" s="11">
        <v>-68.5903232</v>
      </c>
      <c r="F385" s="11">
        <v>-32.0639866</v>
      </c>
      <c r="G385" s="11" t="s">
        <v>349</v>
      </c>
      <c r="H385" s="11" t="s">
        <v>20</v>
      </c>
      <c r="I385" s="11">
        <v>58.8</v>
      </c>
      <c r="J385" s="11">
        <f t="shared" si="90"/>
        <v>5</v>
      </c>
      <c r="K385" s="11">
        <v>77</v>
      </c>
      <c r="L385" s="11">
        <f t="shared" si="91"/>
        <v>5</v>
      </c>
      <c r="M385" s="12">
        <v>4.7916666666666663E-2</v>
      </c>
      <c r="N385" s="11">
        <v>7</v>
      </c>
      <c r="O385" s="11" t="s">
        <v>350</v>
      </c>
      <c r="P385" s="11" t="s">
        <v>135</v>
      </c>
      <c r="Q385" s="11" t="s">
        <v>22</v>
      </c>
      <c r="R385" s="11" t="s">
        <v>23</v>
      </c>
      <c r="S385" s="6"/>
      <c r="T385" s="6"/>
      <c r="U385" s="6"/>
      <c r="V385" s="6"/>
      <c r="W385" s="6"/>
      <c r="X385" s="6"/>
      <c r="Y385" s="6"/>
    </row>
    <row r="386" spans="1:25" ht="15.75" customHeight="1">
      <c r="A386" s="13" t="s">
        <v>26</v>
      </c>
      <c r="B386" s="13">
        <v>700014000</v>
      </c>
      <c r="C386" s="13">
        <v>7000363</v>
      </c>
      <c r="D386" s="13">
        <v>5441</v>
      </c>
      <c r="E386" s="13">
        <v>-68.367621400000004</v>
      </c>
      <c r="F386" s="13">
        <v>-32.043143100000002</v>
      </c>
      <c r="G386" s="13" t="s">
        <v>351</v>
      </c>
      <c r="H386" s="13" t="s">
        <v>20</v>
      </c>
      <c r="I386" s="13">
        <v>58.8</v>
      </c>
      <c r="J386" s="13">
        <f t="shared" si="90"/>
        <v>5</v>
      </c>
      <c r="K386" s="13">
        <v>67</v>
      </c>
      <c r="L386" s="13">
        <f t="shared" si="91"/>
        <v>5</v>
      </c>
      <c r="M386" s="14">
        <v>4.0972222222222222E-2</v>
      </c>
      <c r="N386" s="13">
        <v>5</v>
      </c>
      <c r="O386" s="13" t="str">
        <f>IF(AVERAGE(J386,L386)=N386,"COINCIDE",IF(L386=N386,"INCONGRUENTE","DISTINTO"))</f>
        <v>COINCIDE</v>
      </c>
      <c r="P386" s="13" t="s">
        <v>135</v>
      </c>
      <c r="Q386" s="13" t="s">
        <v>22</v>
      </c>
      <c r="R386" s="13" t="s">
        <v>23</v>
      </c>
      <c r="S386" s="6"/>
      <c r="T386" s="6"/>
      <c r="U386" s="6"/>
      <c r="V386" s="6"/>
      <c r="W386" s="6"/>
      <c r="X386" s="6"/>
      <c r="Y386" s="6"/>
    </row>
    <row r="387" spans="1:25" ht="15.75" customHeight="1">
      <c r="A387" s="27" t="s">
        <v>18</v>
      </c>
      <c r="B387" s="27">
        <v>700091800</v>
      </c>
      <c r="C387" s="27">
        <v>7050038</v>
      </c>
      <c r="D387" s="27">
        <v>5442</v>
      </c>
      <c r="E387" s="27">
        <v>-68.287941700000005</v>
      </c>
      <c r="F387" s="27">
        <v>-31.652246000000002</v>
      </c>
      <c r="G387" s="27" t="s">
        <v>221</v>
      </c>
      <c r="H387" s="27" t="s">
        <v>222</v>
      </c>
      <c r="I387" s="27">
        <v>0.53700000000000003</v>
      </c>
      <c r="J387" s="13">
        <f t="shared" ref="J387:J390" si="94">IF(I387&lt;=2,3,IF(I387&lt;=40,4,IF(I387&lt;=80,5,6)))</f>
        <v>3</v>
      </c>
      <c r="K387" s="27">
        <v>2</v>
      </c>
      <c r="L387" s="13">
        <f t="shared" ref="L387:L390" si="95">IF(K387&lt;=2,3,IF(K387&lt;=40,4,IF(K387&lt;=80,5,6)))</f>
        <v>3</v>
      </c>
      <c r="M387" s="28">
        <v>2.0833333333333333E-3</v>
      </c>
      <c r="N387" s="27">
        <v>3</v>
      </c>
      <c r="O387" s="13" t="str">
        <f t="shared" ref="O387:O392" si="96">IF(AVERAGE(J387,L387)=N387,"COINCIDE",IF(L387=N387,"INCONGRUENTE",IF(N387=7,"COINCIDE","DISTINTO")))</f>
        <v>COINCIDE</v>
      </c>
      <c r="P387" s="27" t="s">
        <v>221</v>
      </c>
      <c r="Q387" s="27" t="s">
        <v>22</v>
      </c>
      <c r="R387" s="27" t="s">
        <v>23</v>
      </c>
      <c r="S387" s="6"/>
      <c r="T387" s="6"/>
      <c r="U387" s="6"/>
      <c r="V387" s="6"/>
      <c r="W387" s="6"/>
      <c r="X387" s="6"/>
      <c r="Y387" s="6"/>
    </row>
    <row r="388" spans="1:25" ht="15.75" customHeight="1">
      <c r="A388" s="13" t="s">
        <v>18</v>
      </c>
      <c r="B388" s="13">
        <v>700055700</v>
      </c>
      <c r="C388" s="13">
        <v>7050399</v>
      </c>
      <c r="D388" s="13">
        <v>5442</v>
      </c>
      <c r="E388" s="13">
        <v>-68.285323000000005</v>
      </c>
      <c r="F388" s="13">
        <v>-31.702707499999999</v>
      </c>
      <c r="G388" s="13" t="s">
        <v>25</v>
      </c>
      <c r="H388" s="13" t="s">
        <v>222</v>
      </c>
      <c r="I388" s="13">
        <v>5.72</v>
      </c>
      <c r="J388" s="13">
        <f t="shared" si="94"/>
        <v>4</v>
      </c>
      <c r="K388" s="13">
        <v>6</v>
      </c>
      <c r="L388" s="13">
        <f t="shared" si="95"/>
        <v>4</v>
      </c>
      <c r="M388" s="14">
        <v>6.2499999999999995E-3</v>
      </c>
      <c r="N388" s="13">
        <v>4</v>
      </c>
      <c r="O388" s="13" t="str">
        <f t="shared" si="96"/>
        <v>COINCIDE</v>
      </c>
      <c r="P388" s="13" t="s">
        <v>221</v>
      </c>
      <c r="Q388" s="13" t="s">
        <v>22</v>
      </c>
      <c r="R388" s="13" t="s">
        <v>23</v>
      </c>
      <c r="S388" s="6"/>
      <c r="T388" s="6"/>
      <c r="U388" s="6"/>
      <c r="V388" s="6"/>
      <c r="W388" s="6"/>
      <c r="X388" s="6"/>
      <c r="Y388" s="6"/>
    </row>
    <row r="389" spans="1:25" ht="15.75" customHeight="1">
      <c r="A389" s="13" t="s">
        <v>18</v>
      </c>
      <c r="B389" s="13">
        <v>700089000</v>
      </c>
      <c r="C389" s="13" t="s">
        <v>352</v>
      </c>
      <c r="D389" s="13">
        <v>5442</v>
      </c>
      <c r="E389" s="13">
        <v>-68.269181900000007</v>
      </c>
      <c r="F389" s="13">
        <v>-31.666403200000001</v>
      </c>
      <c r="G389" s="13" t="s">
        <v>221</v>
      </c>
      <c r="H389" s="13" t="s">
        <v>222</v>
      </c>
      <c r="I389" s="13">
        <v>2.14</v>
      </c>
      <c r="J389" s="13">
        <f t="shared" si="94"/>
        <v>4</v>
      </c>
      <c r="K389" s="13">
        <v>3</v>
      </c>
      <c r="L389" s="13">
        <f t="shared" si="95"/>
        <v>4</v>
      </c>
      <c r="M389" s="14">
        <v>5.5555555555555558E-3</v>
      </c>
      <c r="N389" s="13">
        <v>4</v>
      </c>
      <c r="O389" s="13" t="str">
        <f t="shared" si="96"/>
        <v>COINCIDE</v>
      </c>
      <c r="P389" s="13" t="s">
        <v>221</v>
      </c>
      <c r="Q389" s="13" t="s">
        <v>22</v>
      </c>
      <c r="R389" s="13" t="s">
        <v>353</v>
      </c>
      <c r="S389" s="6"/>
      <c r="T389" s="6"/>
      <c r="U389" s="6"/>
      <c r="V389" s="6"/>
      <c r="W389" s="6"/>
      <c r="X389" s="6"/>
      <c r="Y389" s="6"/>
    </row>
    <row r="390" spans="1:25" ht="15.75" customHeight="1">
      <c r="A390" s="56" t="s">
        <v>18</v>
      </c>
      <c r="B390" s="56">
        <v>700021702</v>
      </c>
      <c r="C390" s="56" t="s">
        <v>354</v>
      </c>
      <c r="D390" s="56">
        <v>5442</v>
      </c>
      <c r="E390" s="56">
        <v>-67.8034246</v>
      </c>
      <c r="F390" s="56">
        <v>-31.377215100000001</v>
      </c>
      <c r="G390" s="56" t="s">
        <v>355</v>
      </c>
      <c r="H390" s="56" t="s">
        <v>222</v>
      </c>
      <c r="I390" s="56">
        <v>55.2</v>
      </c>
      <c r="J390" s="35">
        <f t="shared" si="94"/>
        <v>5</v>
      </c>
      <c r="K390" s="56">
        <v>100</v>
      </c>
      <c r="L390" s="35">
        <f t="shared" si="95"/>
        <v>6</v>
      </c>
      <c r="M390" s="63">
        <v>6.25E-2</v>
      </c>
      <c r="N390" s="56">
        <v>6</v>
      </c>
      <c r="O390" s="35" t="str">
        <f t="shared" si="96"/>
        <v>INCONGRUENTE</v>
      </c>
      <c r="P390" s="56" t="s">
        <v>221</v>
      </c>
      <c r="Q390" s="56" t="s">
        <v>22</v>
      </c>
      <c r="R390" s="56" t="s">
        <v>23</v>
      </c>
      <c r="S390" s="6"/>
      <c r="T390" s="6"/>
      <c r="U390" s="6"/>
      <c r="V390" s="6"/>
      <c r="W390" s="6"/>
      <c r="X390" s="6"/>
      <c r="Y390" s="6"/>
    </row>
    <row r="391" spans="1:25" ht="15.75" customHeight="1">
      <c r="A391" s="11" t="s">
        <v>18</v>
      </c>
      <c r="B391" s="11">
        <v>700014100</v>
      </c>
      <c r="C391" s="11">
        <v>7000364</v>
      </c>
      <c r="D391" s="11">
        <v>5441</v>
      </c>
      <c r="E391" s="11">
        <v>-68.387954699999995</v>
      </c>
      <c r="F391" s="11">
        <v>-32.102759599999999</v>
      </c>
      <c r="G391" s="11" t="s">
        <v>351</v>
      </c>
      <c r="H391" s="11" t="s">
        <v>20</v>
      </c>
      <c r="I391" s="11">
        <v>64.7</v>
      </c>
      <c r="J391" s="11">
        <f t="shared" ref="J391:J403" si="97">IF(I391&lt;=4,1,IF(I391&lt;=10,2,IF(I391&lt;=20,3,IF(I391&lt;=40,4,IF(I391&lt;=80,5,6)))))</f>
        <v>5</v>
      </c>
      <c r="K391" s="11">
        <v>72</v>
      </c>
      <c r="L391" s="11">
        <f t="shared" ref="L391:L403" si="98">IF(K391&lt;=4,1,IF(K391&lt;=10,2,IF(K391&lt;=20,3,IF(K391&lt;=40,4,IF(K391&lt;=80,5,6)))))</f>
        <v>5</v>
      </c>
      <c r="M391" s="12">
        <v>4.2361111111111106E-2</v>
      </c>
      <c r="N391" s="11">
        <v>6</v>
      </c>
      <c r="O391" s="11" t="str">
        <f t="shared" si="96"/>
        <v>DISTINTO</v>
      </c>
      <c r="P391" s="11" t="s">
        <v>135</v>
      </c>
      <c r="Q391" s="11" t="s">
        <v>22</v>
      </c>
      <c r="R391" s="11" t="s">
        <v>23</v>
      </c>
      <c r="S391" s="6"/>
      <c r="T391" s="6"/>
      <c r="U391" s="6"/>
      <c r="V391" s="6"/>
      <c r="W391" s="6"/>
      <c r="X391" s="6"/>
      <c r="Y391" s="6"/>
    </row>
    <row r="392" spans="1:25" ht="15.75" customHeight="1">
      <c r="A392" s="11" t="s">
        <v>18</v>
      </c>
      <c r="B392" s="11">
        <v>700039000</v>
      </c>
      <c r="C392" s="11">
        <v>7000366</v>
      </c>
      <c r="D392" s="11">
        <v>5441</v>
      </c>
      <c r="E392" s="11">
        <v>-68.6507079</v>
      </c>
      <c r="F392" s="11">
        <v>-31.952368499999999</v>
      </c>
      <c r="G392" s="11" t="s">
        <v>356</v>
      </c>
      <c r="H392" s="11" t="s">
        <v>20</v>
      </c>
      <c r="I392" s="11">
        <v>47.6</v>
      </c>
      <c r="J392" s="11">
        <f t="shared" si="97"/>
        <v>5</v>
      </c>
      <c r="K392" s="11">
        <v>75</v>
      </c>
      <c r="L392" s="11">
        <f t="shared" si="98"/>
        <v>5</v>
      </c>
      <c r="M392" s="12">
        <v>4.3055555555555562E-2</v>
      </c>
      <c r="N392" s="11">
        <v>6</v>
      </c>
      <c r="O392" s="11" t="str">
        <f t="shared" si="96"/>
        <v>DISTINTO</v>
      </c>
      <c r="P392" s="11" t="s">
        <v>135</v>
      </c>
      <c r="Q392" s="11" t="s">
        <v>22</v>
      </c>
      <c r="R392" s="11" t="s">
        <v>23</v>
      </c>
      <c r="S392" s="6"/>
      <c r="T392" s="6"/>
      <c r="U392" s="6"/>
      <c r="V392" s="6"/>
      <c r="W392" s="6"/>
      <c r="X392" s="6"/>
      <c r="Y392" s="6"/>
    </row>
    <row r="393" spans="1:25" ht="15.75" customHeight="1">
      <c r="A393" s="13" t="s">
        <v>40</v>
      </c>
      <c r="B393" s="13">
        <v>700013100</v>
      </c>
      <c r="C393" s="13">
        <v>7000368</v>
      </c>
      <c r="D393" s="13">
        <v>5441</v>
      </c>
      <c r="E393" s="13">
        <v>-68.422424300000003</v>
      </c>
      <c r="F393" s="13">
        <v>-31.986332999999998</v>
      </c>
      <c r="G393" s="13" t="s">
        <v>357</v>
      </c>
      <c r="H393" s="13" t="s">
        <v>20</v>
      </c>
      <c r="I393" s="13">
        <v>50.7</v>
      </c>
      <c r="J393" s="13">
        <f t="shared" si="97"/>
        <v>5</v>
      </c>
      <c r="K393" s="13">
        <v>56</v>
      </c>
      <c r="L393" s="13">
        <f t="shared" si="98"/>
        <v>5</v>
      </c>
      <c r="M393" s="14">
        <v>3.3333333333333333E-2</v>
      </c>
      <c r="N393" s="13">
        <v>5</v>
      </c>
      <c r="O393" s="13" t="str">
        <f t="shared" ref="O393:O398" si="99">IF(AVERAGE(J393,L393)=N393,"COINCIDE",IF(L393=N393,"INCONGRUENTE","DISTINTO"))</f>
        <v>COINCIDE</v>
      </c>
      <c r="P393" s="13" t="s">
        <v>135</v>
      </c>
      <c r="Q393" s="13" t="s">
        <v>22</v>
      </c>
      <c r="R393" s="13" t="s">
        <v>23</v>
      </c>
      <c r="S393" s="6"/>
      <c r="T393" s="6"/>
      <c r="U393" s="6"/>
      <c r="V393" s="6"/>
      <c r="W393" s="6"/>
      <c r="X393" s="6"/>
      <c r="Y393" s="6"/>
    </row>
    <row r="394" spans="1:25" ht="15.75" customHeight="1">
      <c r="A394" s="13" t="s">
        <v>42</v>
      </c>
      <c r="B394" s="13">
        <v>700013200</v>
      </c>
      <c r="C394" s="13">
        <v>7000369</v>
      </c>
      <c r="D394" s="13">
        <v>5441</v>
      </c>
      <c r="E394" s="13">
        <v>-68.427313699999999</v>
      </c>
      <c r="F394" s="13">
        <v>-31.982488400000001</v>
      </c>
      <c r="G394" s="13" t="s">
        <v>357</v>
      </c>
      <c r="H394" s="13" t="s">
        <v>20</v>
      </c>
      <c r="I394" s="13">
        <v>51</v>
      </c>
      <c r="J394" s="13">
        <f t="shared" si="97"/>
        <v>5</v>
      </c>
      <c r="K394" s="13">
        <v>55</v>
      </c>
      <c r="L394" s="13">
        <f t="shared" si="98"/>
        <v>5</v>
      </c>
      <c r="M394" s="14">
        <v>3.3333333333333333E-2</v>
      </c>
      <c r="N394" s="13">
        <v>5</v>
      </c>
      <c r="O394" s="13" t="str">
        <f t="shared" si="99"/>
        <v>COINCIDE</v>
      </c>
      <c r="P394" s="13" t="s">
        <v>135</v>
      </c>
      <c r="Q394" s="13" t="s">
        <v>22</v>
      </c>
      <c r="R394" s="13" t="s">
        <v>358</v>
      </c>
      <c r="S394" s="6"/>
      <c r="T394" s="6"/>
      <c r="U394" s="6"/>
      <c r="V394" s="6"/>
      <c r="W394" s="6"/>
      <c r="X394" s="6"/>
      <c r="Y394" s="6"/>
    </row>
    <row r="395" spans="1:25" ht="15.75" customHeight="1">
      <c r="A395" s="13" t="s">
        <v>18</v>
      </c>
      <c r="B395" s="13">
        <v>700014300</v>
      </c>
      <c r="C395" s="13">
        <v>7000370</v>
      </c>
      <c r="D395" s="13">
        <v>5441</v>
      </c>
      <c r="E395" s="13">
        <v>-68.424588700000001</v>
      </c>
      <c r="F395" s="13">
        <v>-32.0200198</v>
      </c>
      <c r="G395" s="13" t="s">
        <v>135</v>
      </c>
      <c r="H395" s="13" t="s">
        <v>20</v>
      </c>
      <c r="I395" s="13">
        <v>54.4</v>
      </c>
      <c r="J395" s="13">
        <f t="shared" si="97"/>
        <v>5</v>
      </c>
      <c r="K395" s="13">
        <v>60</v>
      </c>
      <c r="L395" s="13">
        <f t="shared" si="98"/>
        <v>5</v>
      </c>
      <c r="M395" s="14">
        <v>3.7499999999999999E-2</v>
      </c>
      <c r="N395" s="13">
        <v>5</v>
      </c>
      <c r="O395" s="13" t="str">
        <f t="shared" si="99"/>
        <v>COINCIDE</v>
      </c>
      <c r="P395" s="13" t="s">
        <v>135</v>
      </c>
      <c r="Q395" s="13" t="s">
        <v>22</v>
      </c>
      <c r="R395" s="13" t="s">
        <v>23</v>
      </c>
      <c r="S395" s="6"/>
      <c r="T395" s="6"/>
      <c r="U395" s="6"/>
      <c r="V395" s="6"/>
      <c r="W395" s="6"/>
      <c r="X395" s="6"/>
      <c r="Y395" s="6"/>
    </row>
    <row r="396" spans="1:25" ht="15.75" customHeight="1">
      <c r="A396" s="13" t="s">
        <v>18</v>
      </c>
      <c r="B396" s="13">
        <v>700048600</v>
      </c>
      <c r="C396" s="13">
        <v>7000371</v>
      </c>
      <c r="D396" s="13">
        <v>5441</v>
      </c>
      <c r="E396" s="13">
        <v>-68.426383200000004</v>
      </c>
      <c r="F396" s="13">
        <v>-31.982054600000001</v>
      </c>
      <c r="G396" s="13" t="s">
        <v>357</v>
      </c>
      <c r="H396" s="13" t="s">
        <v>20</v>
      </c>
      <c r="I396" s="13">
        <v>49.8</v>
      </c>
      <c r="J396" s="13">
        <f t="shared" si="97"/>
        <v>5</v>
      </c>
      <c r="K396" s="13">
        <v>55</v>
      </c>
      <c r="L396" s="13">
        <f t="shared" si="98"/>
        <v>5</v>
      </c>
      <c r="M396" s="14">
        <v>3.2638888888888891E-2</v>
      </c>
      <c r="N396" s="13">
        <v>5</v>
      </c>
      <c r="O396" s="13" t="str">
        <f t="shared" si="99"/>
        <v>COINCIDE</v>
      </c>
      <c r="P396" s="13" t="s">
        <v>135</v>
      </c>
      <c r="Q396" s="13" t="s">
        <v>22</v>
      </c>
      <c r="R396" s="13" t="s">
        <v>359</v>
      </c>
      <c r="S396" s="6"/>
      <c r="T396" s="6"/>
      <c r="U396" s="6"/>
      <c r="V396" s="6"/>
      <c r="W396" s="6"/>
      <c r="X396" s="6"/>
      <c r="Y396" s="6"/>
    </row>
    <row r="397" spans="1:25" ht="15.75" customHeight="1">
      <c r="A397" s="13" t="s">
        <v>64</v>
      </c>
      <c r="B397" s="13">
        <v>700048800</v>
      </c>
      <c r="C397" s="13">
        <v>7000372</v>
      </c>
      <c r="D397" s="13">
        <v>5441</v>
      </c>
      <c r="E397" s="13">
        <v>-68.427582599999994</v>
      </c>
      <c r="F397" s="13">
        <v>-31.982350400000001</v>
      </c>
      <c r="G397" s="13" t="s">
        <v>357</v>
      </c>
      <c r="H397" s="13" t="s">
        <v>20</v>
      </c>
      <c r="I397" s="13">
        <v>51</v>
      </c>
      <c r="J397" s="13">
        <f t="shared" si="97"/>
        <v>5</v>
      </c>
      <c r="K397" s="13">
        <v>55</v>
      </c>
      <c r="L397" s="13">
        <f t="shared" si="98"/>
        <v>5</v>
      </c>
      <c r="M397" s="14">
        <v>3.3333333333333333E-2</v>
      </c>
      <c r="N397" s="13">
        <v>5</v>
      </c>
      <c r="O397" s="13" t="str">
        <f t="shared" si="99"/>
        <v>COINCIDE</v>
      </c>
      <c r="P397" s="13" t="s">
        <v>135</v>
      </c>
      <c r="Q397" s="13" t="s">
        <v>22</v>
      </c>
      <c r="R397" s="13" t="s">
        <v>23</v>
      </c>
      <c r="S397" s="6"/>
      <c r="T397" s="6"/>
      <c r="U397" s="6"/>
      <c r="V397" s="6"/>
      <c r="W397" s="6"/>
      <c r="X397" s="6"/>
      <c r="Y397" s="6"/>
    </row>
    <row r="398" spans="1:25" ht="15.75" customHeight="1">
      <c r="A398" s="13" t="s">
        <v>38</v>
      </c>
      <c r="B398" s="13">
        <v>700075900</v>
      </c>
      <c r="C398" s="13">
        <v>7000373</v>
      </c>
      <c r="D398" s="13">
        <v>5441</v>
      </c>
      <c r="E398" s="13">
        <v>-68.424348199999997</v>
      </c>
      <c r="F398" s="13">
        <v>-31.991627999999999</v>
      </c>
      <c r="G398" s="13" t="s">
        <v>357</v>
      </c>
      <c r="H398" s="13" t="s">
        <v>20</v>
      </c>
      <c r="I398" s="13">
        <v>51.3</v>
      </c>
      <c r="J398" s="13">
        <f t="shared" si="97"/>
        <v>5</v>
      </c>
      <c r="K398" s="13">
        <v>57</v>
      </c>
      <c r="L398" s="13">
        <f t="shared" si="98"/>
        <v>5</v>
      </c>
      <c r="M398" s="14">
        <v>3.9583333333333331E-2</v>
      </c>
      <c r="N398" s="13">
        <v>5</v>
      </c>
      <c r="O398" s="13" t="str">
        <f t="shared" si="99"/>
        <v>COINCIDE</v>
      </c>
      <c r="P398" s="13" t="s">
        <v>135</v>
      </c>
      <c r="Q398" s="13" t="s">
        <v>22</v>
      </c>
      <c r="R398" s="13" t="s">
        <v>23</v>
      </c>
      <c r="S398" s="6"/>
      <c r="T398" s="6"/>
      <c r="U398" s="6"/>
      <c r="V398" s="6"/>
      <c r="W398" s="6"/>
      <c r="X398" s="6"/>
      <c r="Y398" s="6"/>
    </row>
    <row r="399" spans="1:25" ht="15.75" customHeight="1">
      <c r="A399" s="11" t="s">
        <v>18</v>
      </c>
      <c r="B399" s="11">
        <v>700008200</v>
      </c>
      <c r="C399" s="11">
        <v>7000374</v>
      </c>
      <c r="D399" s="11">
        <v>5441</v>
      </c>
      <c r="E399" s="11">
        <v>-68.619401999999994</v>
      </c>
      <c r="F399" s="11">
        <v>-32.093274600000001</v>
      </c>
      <c r="G399" s="11" t="s">
        <v>360</v>
      </c>
      <c r="H399" s="11" t="s">
        <v>20</v>
      </c>
      <c r="I399" s="11">
        <v>62.4</v>
      </c>
      <c r="J399" s="11">
        <f t="shared" si="97"/>
        <v>5</v>
      </c>
      <c r="K399" s="11">
        <v>81</v>
      </c>
      <c r="L399" s="11">
        <f t="shared" si="98"/>
        <v>6</v>
      </c>
      <c r="M399" s="12">
        <v>4.9305555555555554E-2</v>
      </c>
      <c r="N399" s="11">
        <v>7</v>
      </c>
      <c r="O399" s="11" t="s">
        <v>350</v>
      </c>
      <c r="P399" s="11" t="s">
        <v>135</v>
      </c>
      <c r="Q399" s="11" t="s">
        <v>22</v>
      </c>
      <c r="R399" s="11" t="s">
        <v>23</v>
      </c>
      <c r="S399" s="6"/>
      <c r="T399" s="6"/>
      <c r="U399" s="6"/>
      <c r="V399" s="6"/>
      <c r="W399" s="6"/>
      <c r="X399" s="6"/>
      <c r="Y399" s="6"/>
    </row>
    <row r="400" spans="1:25" ht="15.75" customHeight="1">
      <c r="A400" s="13" t="s">
        <v>18</v>
      </c>
      <c r="B400" s="13">
        <v>700014400</v>
      </c>
      <c r="C400" s="13">
        <v>7000375</v>
      </c>
      <c r="D400" s="13">
        <v>5441</v>
      </c>
      <c r="E400" s="13">
        <v>-68.459433099999998</v>
      </c>
      <c r="F400" s="13">
        <v>-32.102448199999998</v>
      </c>
      <c r="G400" s="13" t="s">
        <v>361</v>
      </c>
      <c r="H400" s="13" t="s">
        <v>20</v>
      </c>
      <c r="I400" s="13">
        <v>63.5</v>
      </c>
      <c r="J400" s="13">
        <f t="shared" si="97"/>
        <v>5</v>
      </c>
      <c r="K400" s="13">
        <v>67</v>
      </c>
      <c r="L400" s="13">
        <f t="shared" si="98"/>
        <v>5</v>
      </c>
      <c r="M400" s="14">
        <v>3.6805555555555557E-2</v>
      </c>
      <c r="N400" s="13">
        <v>5</v>
      </c>
      <c r="O400" s="13" t="str">
        <f t="shared" ref="O400:O402" si="100">IF(AVERAGE(J400,L400)=N400,"COINCIDE",IF(L400=N400,"INCONGRUENTE","DISTINTO"))</f>
        <v>COINCIDE</v>
      </c>
      <c r="P400" s="13" t="s">
        <v>135</v>
      </c>
      <c r="Q400" s="13" t="s">
        <v>22</v>
      </c>
      <c r="R400" s="13" t="s">
        <v>23</v>
      </c>
      <c r="S400" s="6"/>
      <c r="T400" s="6"/>
      <c r="U400" s="6"/>
      <c r="V400" s="6"/>
      <c r="W400" s="6"/>
      <c r="X400" s="6"/>
      <c r="Y400" s="6"/>
    </row>
    <row r="401" spans="1:25" ht="15.75" customHeight="1">
      <c r="A401" s="13" t="s">
        <v>18</v>
      </c>
      <c r="B401" s="13">
        <v>700014500</v>
      </c>
      <c r="C401" s="13">
        <v>7000376</v>
      </c>
      <c r="D401" s="13">
        <v>5441</v>
      </c>
      <c r="E401" s="13">
        <v>-68.429895900000005</v>
      </c>
      <c r="F401" s="13">
        <v>-32.059872499999997</v>
      </c>
      <c r="G401" s="13" t="s">
        <v>362</v>
      </c>
      <c r="H401" s="13" t="s">
        <v>20</v>
      </c>
      <c r="I401" s="13">
        <v>58.7</v>
      </c>
      <c r="J401" s="13">
        <f t="shared" si="97"/>
        <v>5</v>
      </c>
      <c r="K401" s="13">
        <v>64</v>
      </c>
      <c r="L401" s="13">
        <f t="shared" si="98"/>
        <v>5</v>
      </c>
      <c r="M401" s="14">
        <v>3.6111111111111115E-2</v>
      </c>
      <c r="N401" s="13">
        <v>5</v>
      </c>
      <c r="O401" s="13" t="str">
        <f t="shared" si="100"/>
        <v>COINCIDE</v>
      </c>
      <c r="P401" s="13" t="s">
        <v>135</v>
      </c>
      <c r="Q401" s="13" t="s">
        <v>22</v>
      </c>
      <c r="R401" s="13" t="s">
        <v>23</v>
      </c>
      <c r="S401" s="6"/>
      <c r="T401" s="6"/>
      <c r="U401" s="6"/>
      <c r="V401" s="6"/>
      <c r="W401" s="6"/>
      <c r="X401" s="6"/>
      <c r="Y401" s="6"/>
    </row>
    <row r="402" spans="1:25" ht="15.75" customHeight="1">
      <c r="A402" s="7" t="s">
        <v>26</v>
      </c>
      <c r="B402" s="7">
        <v>700014000</v>
      </c>
      <c r="C402" s="7">
        <v>7000439</v>
      </c>
      <c r="D402" s="7">
        <v>5441</v>
      </c>
      <c r="E402" s="7">
        <v>-68.765036600000002</v>
      </c>
      <c r="F402" s="7">
        <v>-31.996983700000001</v>
      </c>
      <c r="G402" s="7" t="s">
        <v>363</v>
      </c>
      <c r="H402" s="7" t="s">
        <v>20</v>
      </c>
      <c r="I402" s="7">
        <v>56</v>
      </c>
      <c r="J402" s="35">
        <f t="shared" si="97"/>
        <v>5</v>
      </c>
      <c r="K402" s="7">
        <v>89</v>
      </c>
      <c r="L402" s="35">
        <f t="shared" si="98"/>
        <v>6</v>
      </c>
      <c r="M402" s="9">
        <v>5.347222222222222E-2</v>
      </c>
      <c r="N402" s="7">
        <v>6</v>
      </c>
      <c r="O402" s="35" t="str">
        <f t="shared" si="100"/>
        <v>INCONGRUENTE</v>
      </c>
      <c r="P402" s="7" t="s">
        <v>135</v>
      </c>
      <c r="Q402" s="7" t="s">
        <v>22</v>
      </c>
      <c r="R402" s="7" t="s">
        <v>23</v>
      </c>
      <c r="S402" s="6"/>
      <c r="T402" s="6"/>
      <c r="U402" s="6"/>
      <c r="V402" s="6"/>
      <c r="W402" s="6"/>
      <c r="X402" s="6"/>
      <c r="Y402" s="6"/>
    </row>
    <row r="403" spans="1:25" ht="15.75" customHeight="1">
      <c r="A403" s="11" t="s">
        <v>18</v>
      </c>
      <c r="B403" s="11">
        <v>700013400</v>
      </c>
      <c r="C403" s="11">
        <v>7000440</v>
      </c>
      <c r="D403" s="11">
        <v>5441</v>
      </c>
      <c r="E403" s="11">
        <v>-68.422986100000003</v>
      </c>
      <c r="F403" s="11">
        <v>-31.986315999999999</v>
      </c>
      <c r="G403" s="11" t="s">
        <v>357</v>
      </c>
      <c r="H403" s="11" t="s">
        <v>20</v>
      </c>
      <c r="I403" s="11">
        <v>50.6</v>
      </c>
      <c r="J403" s="11">
        <f t="shared" si="97"/>
        <v>5</v>
      </c>
      <c r="K403" s="11">
        <v>56</v>
      </c>
      <c r="L403" s="36">
        <f t="shared" si="98"/>
        <v>5</v>
      </c>
      <c r="M403" s="12">
        <v>3.3333333333333333E-2</v>
      </c>
      <c r="N403" s="11">
        <v>6</v>
      </c>
      <c r="O403" s="11" t="str">
        <f t="shared" ref="O403:O406" si="101">IF(AVERAGE(J403,L403)=N403,"COINCIDE",IF(L403=N403,"INCONGRUENTE",IF(N403=7,"COINCIDE","DISTINTO")))</f>
        <v>DISTINTO</v>
      </c>
      <c r="P403" s="11" t="s">
        <v>135</v>
      </c>
      <c r="Q403" s="11" t="s">
        <v>22</v>
      </c>
      <c r="R403" s="11" t="s">
        <v>23</v>
      </c>
      <c r="S403" s="6"/>
      <c r="T403" s="6"/>
      <c r="U403" s="6"/>
      <c r="V403" s="6"/>
      <c r="W403" s="6"/>
      <c r="X403" s="6"/>
      <c r="Y403" s="6"/>
    </row>
    <row r="404" spans="1:25" ht="15.75" customHeight="1">
      <c r="A404" s="13" t="s">
        <v>64</v>
      </c>
      <c r="B404" s="13">
        <v>700039900</v>
      </c>
      <c r="C404" s="13" t="s">
        <v>364</v>
      </c>
      <c r="D404" s="13">
        <v>5442</v>
      </c>
      <c r="E404" s="13">
        <v>-68.284073800000002</v>
      </c>
      <c r="F404" s="13">
        <v>-31.655035099999999</v>
      </c>
      <c r="G404" s="13" t="s">
        <v>221</v>
      </c>
      <c r="H404" s="13" t="s">
        <v>222</v>
      </c>
      <c r="I404" s="13">
        <v>0.45700000000000002</v>
      </c>
      <c r="J404" s="13">
        <f t="shared" ref="J404:J405" si="102">IF(I404&lt;=2,3,IF(I404&lt;=40,4,IF(I404&lt;=80,5,6)))</f>
        <v>3</v>
      </c>
      <c r="K404" s="13">
        <v>0.74</v>
      </c>
      <c r="L404" s="13">
        <f t="shared" ref="L404:L405" si="103">IF(K404&lt;=2,3,IF(K404&lt;=40,4,IF(K404&lt;=80,5,6)))</f>
        <v>3</v>
      </c>
      <c r="M404" s="14">
        <v>1.3888888888888889E-3</v>
      </c>
      <c r="N404" s="13">
        <v>3</v>
      </c>
      <c r="O404" s="13" t="str">
        <f t="shared" si="101"/>
        <v>COINCIDE</v>
      </c>
      <c r="P404" s="13" t="s">
        <v>221</v>
      </c>
      <c r="Q404" s="13" t="s">
        <v>22</v>
      </c>
      <c r="R404" s="13" t="s">
        <v>23</v>
      </c>
      <c r="S404" s="6"/>
      <c r="T404" s="6"/>
      <c r="U404" s="6"/>
      <c r="V404" s="6"/>
      <c r="W404" s="6"/>
      <c r="X404" s="6"/>
      <c r="Y404" s="6"/>
    </row>
    <row r="405" spans="1:25" ht="15.75" customHeight="1">
      <c r="A405" s="13" t="s">
        <v>42</v>
      </c>
      <c r="B405" s="13">
        <v>700088400</v>
      </c>
      <c r="C405" s="13" t="s">
        <v>365</v>
      </c>
      <c r="D405" s="13">
        <v>5442</v>
      </c>
      <c r="E405" s="13">
        <v>-68.269147000000004</v>
      </c>
      <c r="F405" s="13">
        <v>-31.665928300000001</v>
      </c>
      <c r="G405" s="13" t="s">
        <v>366</v>
      </c>
      <c r="H405" s="13" t="s">
        <v>222</v>
      </c>
      <c r="I405" s="13">
        <v>2.06</v>
      </c>
      <c r="J405" s="13">
        <f t="shared" si="102"/>
        <v>4</v>
      </c>
      <c r="K405" s="13">
        <v>3</v>
      </c>
      <c r="L405" s="13">
        <f t="shared" si="103"/>
        <v>4</v>
      </c>
      <c r="M405" s="13"/>
      <c r="N405" s="13">
        <v>4</v>
      </c>
      <c r="O405" s="13" t="str">
        <f t="shared" si="101"/>
        <v>COINCIDE</v>
      </c>
      <c r="P405" s="13" t="s">
        <v>221</v>
      </c>
      <c r="Q405" s="13" t="s">
        <v>22</v>
      </c>
      <c r="R405" s="13" t="s">
        <v>367</v>
      </c>
      <c r="S405" s="6"/>
      <c r="T405" s="6"/>
      <c r="U405" s="6"/>
      <c r="V405" s="6"/>
      <c r="W405" s="6"/>
      <c r="X405" s="6"/>
      <c r="Y405" s="6"/>
    </row>
    <row r="406" spans="1:25" ht="15.75" customHeight="1">
      <c r="A406" s="32" t="s">
        <v>64</v>
      </c>
      <c r="B406" s="32">
        <v>700088600</v>
      </c>
      <c r="C406" s="32" t="s">
        <v>368</v>
      </c>
      <c r="D406" s="32">
        <v>5441</v>
      </c>
      <c r="E406" s="32">
        <v>-68.659856099999999</v>
      </c>
      <c r="F406" s="32">
        <v>-31.9560651</v>
      </c>
      <c r="G406" s="32" t="s">
        <v>345</v>
      </c>
      <c r="H406" s="32" t="s">
        <v>20</v>
      </c>
      <c r="I406" s="32">
        <v>48.3</v>
      </c>
      <c r="J406" s="32">
        <f t="shared" ref="J406:J442" si="104">IF(I406&lt;=4,1,IF(I406&lt;=10,2,IF(I406&lt;=20,3,IF(I406&lt;=40,4,IF(I406&lt;=80,5,6)))))</f>
        <v>5</v>
      </c>
      <c r="K406" s="32">
        <v>76</v>
      </c>
      <c r="L406" s="32">
        <f t="shared" ref="L406:L442" si="105">IF(K406&lt;=4,1,IF(K406&lt;=10,2,IF(K406&lt;=20,3,IF(K406&lt;=40,4,IF(K406&lt;=80,5,6)))))</f>
        <v>5</v>
      </c>
      <c r="M406" s="69">
        <v>4.4444444444444446E-2</v>
      </c>
      <c r="N406" s="32">
        <v>6</v>
      </c>
      <c r="O406" s="32" t="str">
        <f t="shared" si="101"/>
        <v>DISTINTO</v>
      </c>
      <c r="P406" s="32" t="s">
        <v>135</v>
      </c>
      <c r="Q406" s="32" t="s">
        <v>22</v>
      </c>
      <c r="R406" s="32" t="s">
        <v>23</v>
      </c>
      <c r="S406" s="6"/>
      <c r="T406" s="6"/>
      <c r="U406" s="6"/>
      <c r="V406" s="6"/>
      <c r="W406" s="6"/>
      <c r="X406" s="6"/>
      <c r="Y406" s="6"/>
    </row>
    <row r="407" spans="1:25" ht="15.75" customHeight="1">
      <c r="A407" s="13" t="s">
        <v>18</v>
      </c>
      <c r="B407" s="13">
        <v>700048200</v>
      </c>
      <c r="C407" s="13" t="s">
        <v>369</v>
      </c>
      <c r="D407" s="13">
        <v>5441</v>
      </c>
      <c r="E407" s="13">
        <v>-68.416348299999996</v>
      </c>
      <c r="F407" s="13">
        <v>-31.893382200000001</v>
      </c>
      <c r="G407" s="13" t="s">
        <v>345</v>
      </c>
      <c r="H407" s="13" t="s">
        <v>20</v>
      </c>
      <c r="I407" s="13">
        <v>40.700000000000003</v>
      </c>
      <c r="J407" s="13">
        <f t="shared" si="104"/>
        <v>5</v>
      </c>
      <c r="K407" s="13">
        <v>51</v>
      </c>
      <c r="L407" s="13">
        <f t="shared" si="105"/>
        <v>5</v>
      </c>
      <c r="M407" s="14">
        <v>2.9861111111111113E-2</v>
      </c>
      <c r="N407" s="13">
        <v>5</v>
      </c>
      <c r="O407" s="13" t="str">
        <f>IF(AVERAGE(J407,L407)=N407,"COINCIDE",IF(L407=N407,"INCONGRUENTE","DISTINTO"))</f>
        <v>COINCIDE</v>
      </c>
      <c r="P407" s="13" t="s">
        <v>135</v>
      </c>
      <c r="Q407" s="13" t="s">
        <v>22</v>
      </c>
      <c r="R407" s="13" t="s">
        <v>23</v>
      </c>
      <c r="S407" s="6"/>
      <c r="T407" s="6"/>
      <c r="U407" s="6"/>
      <c r="V407" s="6"/>
      <c r="W407" s="6"/>
      <c r="X407" s="6"/>
      <c r="Y407" s="6"/>
    </row>
    <row r="408" spans="1:25" ht="15.75" customHeight="1">
      <c r="A408" s="36" t="s">
        <v>40</v>
      </c>
      <c r="B408" s="36">
        <v>700084000</v>
      </c>
      <c r="C408" s="36" t="s">
        <v>370</v>
      </c>
      <c r="D408" s="36">
        <v>5441</v>
      </c>
      <c r="E408" s="36">
        <v>-68.655888300000001</v>
      </c>
      <c r="F408" s="36">
        <v>-31.952721400000001</v>
      </c>
      <c r="G408" s="36" t="s">
        <v>356</v>
      </c>
      <c r="H408" s="36" t="s">
        <v>20</v>
      </c>
      <c r="I408" s="36">
        <v>40.799999999999997</v>
      </c>
      <c r="J408" s="36">
        <f t="shared" si="104"/>
        <v>5</v>
      </c>
      <c r="K408" s="36">
        <v>75</v>
      </c>
      <c r="L408" s="36">
        <f t="shared" si="105"/>
        <v>5</v>
      </c>
      <c r="M408" s="70">
        <v>4.3750000000000004E-2</v>
      </c>
      <c r="N408" s="36">
        <v>6</v>
      </c>
      <c r="O408" s="11" t="str">
        <f>IF(AVERAGE(J408,L408)=N408,"COINCIDE",IF(L408=N408,"INCONGRUENTE",IF(N408=7,"COINCIDE","DISTINTO")))</f>
        <v>DISTINTO</v>
      </c>
      <c r="P408" s="36" t="s">
        <v>135</v>
      </c>
      <c r="Q408" s="36" t="s">
        <v>22</v>
      </c>
      <c r="R408" s="36" t="s">
        <v>23</v>
      </c>
      <c r="S408" s="6"/>
      <c r="T408" s="6"/>
      <c r="U408" s="6"/>
      <c r="V408" s="6"/>
      <c r="W408" s="6"/>
      <c r="X408" s="6"/>
      <c r="Y408" s="6"/>
    </row>
    <row r="409" spans="1:25" ht="15.75" customHeight="1">
      <c r="A409" s="13" t="s">
        <v>18</v>
      </c>
      <c r="B409" s="13">
        <v>700029200</v>
      </c>
      <c r="C409" s="13">
        <v>7000378</v>
      </c>
      <c r="D409" s="13">
        <v>5409</v>
      </c>
      <c r="E409" s="13">
        <v>-68.736602000000005</v>
      </c>
      <c r="F409" s="13">
        <v>-31.4619213</v>
      </c>
      <c r="G409" s="13" t="s">
        <v>371</v>
      </c>
      <c r="H409" s="13" t="s">
        <v>20</v>
      </c>
      <c r="I409" s="13">
        <v>21.8</v>
      </c>
      <c r="J409" s="13">
        <f t="shared" si="104"/>
        <v>4</v>
      </c>
      <c r="K409" s="13">
        <v>33</v>
      </c>
      <c r="L409" s="13">
        <f t="shared" si="105"/>
        <v>4</v>
      </c>
      <c r="M409" s="14">
        <v>2.9861111111111113E-2</v>
      </c>
      <c r="N409" s="13">
        <v>4</v>
      </c>
      <c r="O409" s="13" t="str">
        <f t="shared" ref="O409:O414" si="106">IF(AVERAGE(J409,L409)=N409,"COINCIDE",IF(L409=N409,"INCONGRUENTE","DISTINTO"))</f>
        <v>COINCIDE</v>
      </c>
      <c r="P409" s="13" t="s">
        <v>372</v>
      </c>
      <c r="Q409" s="13" t="s">
        <v>22</v>
      </c>
      <c r="R409" s="13" t="s">
        <v>23</v>
      </c>
      <c r="S409" s="6"/>
      <c r="T409" s="6"/>
      <c r="U409" s="6"/>
      <c r="V409" s="6"/>
      <c r="W409" s="6"/>
      <c r="X409" s="6"/>
      <c r="Y409" s="6"/>
    </row>
    <row r="410" spans="1:25" ht="15.75" customHeight="1">
      <c r="A410" s="13" t="s">
        <v>62</v>
      </c>
      <c r="B410" s="13">
        <v>700028900</v>
      </c>
      <c r="C410" s="13">
        <v>7000379</v>
      </c>
      <c r="D410" s="13">
        <v>5409</v>
      </c>
      <c r="E410" s="13">
        <v>-68.736044100000001</v>
      </c>
      <c r="F410" s="13">
        <v>-31.462829599999999</v>
      </c>
      <c r="G410" s="13" t="s">
        <v>372</v>
      </c>
      <c r="H410" s="13" t="s">
        <v>20</v>
      </c>
      <c r="I410" s="13">
        <v>21.6</v>
      </c>
      <c r="J410" s="13">
        <f t="shared" si="104"/>
        <v>4</v>
      </c>
      <c r="K410" s="13">
        <v>33</v>
      </c>
      <c r="L410" s="13">
        <f t="shared" si="105"/>
        <v>4</v>
      </c>
      <c r="M410" s="14">
        <v>2.9861111111111113E-2</v>
      </c>
      <c r="N410" s="13">
        <v>4</v>
      </c>
      <c r="O410" s="13" t="str">
        <f t="shared" si="106"/>
        <v>COINCIDE</v>
      </c>
      <c r="P410" s="13" t="s">
        <v>372</v>
      </c>
      <c r="Q410" s="13" t="s">
        <v>22</v>
      </c>
      <c r="R410" s="13" t="s">
        <v>23</v>
      </c>
      <c r="S410" s="6"/>
      <c r="T410" s="6"/>
      <c r="U410" s="6"/>
      <c r="V410" s="6"/>
      <c r="W410" s="6"/>
      <c r="X410" s="6"/>
      <c r="Y410" s="6"/>
    </row>
    <row r="411" spans="1:25" ht="15.75" customHeight="1">
      <c r="A411" s="13" t="s">
        <v>18</v>
      </c>
      <c r="B411" s="13">
        <v>700029100</v>
      </c>
      <c r="C411" s="13">
        <v>7000380</v>
      </c>
      <c r="D411" s="13">
        <v>5409</v>
      </c>
      <c r="E411" s="13">
        <v>-68.745826500000007</v>
      </c>
      <c r="F411" s="13">
        <v>-31.473614000000001</v>
      </c>
      <c r="G411" s="13" t="s">
        <v>373</v>
      </c>
      <c r="H411" s="13" t="s">
        <v>20</v>
      </c>
      <c r="I411" s="13">
        <v>22.1</v>
      </c>
      <c r="J411" s="13">
        <f t="shared" si="104"/>
        <v>4</v>
      </c>
      <c r="K411" s="13">
        <v>33</v>
      </c>
      <c r="L411" s="13">
        <f t="shared" si="105"/>
        <v>4</v>
      </c>
      <c r="M411" s="14">
        <v>3.1944444444444449E-2</v>
      </c>
      <c r="N411" s="13">
        <v>4</v>
      </c>
      <c r="O411" s="13" t="str">
        <f t="shared" si="106"/>
        <v>COINCIDE</v>
      </c>
      <c r="P411" s="13" t="s">
        <v>372</v>
      </c>
      <c r="Q411" s="13" t="s">
        <v>22</v>
      </c>
      <c r="R411" s="13" t="s">
        <v>374</v>
      </c>
      <c r="S411" s="6"/>
      <c r="T411" s="6"/>
      <c r="U411" s="6"/>
      <c r="V411" s="6"/>
      <c r="W411" s="6"/>
      <c r="X411" s="6"/>
      <c r="Y411" s="6"/>
    </row>
    <row r="412" spans="1:25" ht="15.75" customHeight="1">
      <c r="A412" s="13" t="s">
        <v>40</v>
      </c>
      <c r="B412" s="13">
        <v>700064500</v>
      </c>
      <c r="C412" s="13">
        <v>7050442</v>
      </c>
      <c r="D412" s="13">
        <v>5409</v>
      </c>
      <c r="E412" s="13">
        <v>-68.7393091</v>
      </c>
      <c r="F412" s="13">
        <v>-31.469398399999999</v>
      </c>
      <c r="G412" s="13" t="s">
        <v>372</v>
      </c>
      <c r="H412" s="13" t="s">
        <v>20</v>
      </c>
      <c r="I412" s="13">
        <v>21.7</v>
      </c>
      <c r="J412" s="13">
        <f t="shared" si="104"/>
        <v>4</v>
      </c>
      <c r="K412" s="13">
        <v>32</v>
      </c>
      <c r="L412" s="13">
        <f t="shared" si="105"/>
        <v>4</v>
      </c>
      <c r="M412" s="14">
        <v>3.0555555555555555E-2</v>
      </c>
      <c r="N412" s="13">
        <v>4</v>
      </c>
      <c r="O412" s="13" t="str">
        <f t="shared" si="106"/>
        <v>COINCIDE</v>
      </c>
      <c r="P412" s="13" t="s">
        <v>372</v>
      </c>
      <c r="Q412" s="13" t="s">
        <v>22</v>
      </c>
      <c r="R412" s="13" t="s">
        <v>23</v>
      </c>
      <c r="S412" s="6"/>
      <c r="T412" s="6"/>
      <c r="U412" s="6"/>
      <c r="V412" s="6"/>
      <c r="W412" s="6"/>
      <c r="X412" s="6"/>
      <c r="Y412" s="6"/>
    </row>
    <row r="413" spans="1:25" ht="14.25" customHeight="1">
      <c r="A413" s="13" t="s">
        <v>42</v>
      </c>
      <c r="B413" s="13">
        <v>700029100</v>
      </c>
      <c r="C413" s="13" t="s">
        <v>375</v>
      </c>
      <c r="D413" s="13">
        <v>5409</v>
      </c>
      <c r="E413" s="13">
        <v>-68.746102500000006</v>
      </c>
      <c r="F413" s="13">
        <v>-31.473108499999999</v>
      </c>
      <c r="G413" s="13" t="s">
        <v>373</v>
      </c>
      <c r="H413" s="13" t="s">
        <v>20</v>
      </c>
      <c r="I413" s="13">
        <v>22.1</v>
      </c>
      <c r="J413" s="13">
        <f t="shared" si="104"/>
        <v>4</v>
      </c>
      <c r="K413" s="13">
        <v>33</v>
      </c>
      <c r="L413" s="13">
        <f t="shared" si="105"/>
        <v>4</v>
      </c>
      <c r="M413" s="14">
        <v>3.1944444444444449E-2</v>
      </c>
      <c r="N413" s="13">
        <v>4</v>
      </c>
      <c r="O413" s="13" t="str">
        <f t="shared" si="106"/>
        <v>COINCIDE</v>
      </c>
      <c r="P413" s="13" t="s">
        <v>372</v>
      </c>
      <c r="Q413" s="13" t="s">
        <v>22</v>
      </c>
      <c r="R413" s="13" t="s">
        <v>376</v>
      </c>
      <c r="S413" s="6"/>
      <c r="T413" s="6"/>
      <c r="U413" s="6"/>
      <c r="V413" s="6"/>
      <c r="W413" s="6"/>
      <c r="X413" s="6"/>
      <c r="Y413" s="6"/>
    </row>
    <row r="414" spans="1:25" ht="15.75" customHeight="1">
      <c r="A414" s="13" t="s">
        <v>18</v>
      </c>
      <c r="B414" s="13">
        <v>700054400</v>
      </c>
      <c r="C414" s="13">
        <v>7000382</v>
      </c>
      <c r="D414" s="13">
        <v>5449</v>
      </c>
      <c r="E414" s="13">
        <v>-67.366448199999994</v>
      </c>
      <c r="F414" s="13">
        <v>-30.804151300000001</v>
      </c>
      <c r="G414" s="13" t="s">
        <v>377</v>
      </c>
      <c r="H414" s="13" t="s">
        <v>20</v>
      </c>
      <c r="I414" s="13">
        <v>137</v>
      </c>
      <c r="J414" s="13">
        <f t="shared" si="104"/>
        <v>6</v>
      </c>
      <c r="K414" s="13">
        <v>228</v>
      </c>
      <c r="L414" s="13">
        <f t="shared" si="105"/>
        <v>6</v>
      </c>
      <c r="M414" s="14">
        <v>0.11875000000000001</v>
      </c>
      <c r="N414" s="13">
        <v>6</v>
      </c>
      <c r="O414" s="13" t="str">
        <f t="shared" si="106"/>
        <v>COINCIDE</v>
      </c>
      <c r="P414" s="13" t="s">
        <v>378</v>
      </c>
      <c r="Q414" s="13" t="s">
        <v>22</v>
      </c>
      <c r="R414" s="13" t="s">
        <v>23</v>
      </c>
      <c r="S414" s="6"/>
      <c r="T414" s="6"/>
      <c r="U414" s="6"/>
      <c r="V414" s="6"/>
      <c r="W414" s="6"/>
      <c r="X414" s="6"/>
      <c r="Y414" s="6"/>
    </row>
    <row r="415" spans="1:25" ht="15.75" customHeight="1">
      <c r="A415" s="13" t="s">
        <v>26</v>
      </c>
      <c r="B415" s="13">
        <v>700018000</v>
      </c>
      <c r="C415" s="13">
        <v>7000383</v>
      </c>
      <c r="D415" s="13">
        <v>5449</v>
      </c>
      <c r="E415" s="13">
        <v>-67.399685500000004</v>
      </c>
      <c r="F415" s="13">
        <v>-30.913766899999999</v>
      </c>
      <c r="G415" s="13" t="s">
        <v>379</v>
      </c>
      <c r="H415" s="13" t="s">
        <v>20</v>
      </c>
      <c r="I415" s="13">
        <v>128</v>
      </c>
      <c r="J415" s="13">
        <f t="shared" si="104"/>
        <v>6</v>
      </c>
      <c r="K415" s="13">
        <v>0</v>
      </c>
      <c r="L415" s="13">
        <f t="shared" si="105"/>
        <v>1</v>
      </c>
      <c r="M415" s="13"/>
      <c r="N415" s="13">
        <v>7</v>
      </c>
      <c r="O415" s="13" t="str">
        <f t="shared" ref="O415:O416" si="107">IF(AVERAGE(J415,L415)=N415,"COINCIDE",IF(L415=N415,"INCONGRUENTE",IF(N415=7,"COINCIDE","DISTINTO")))</f>
        <v>COINCIDE</v>
      </c>
      <c r="P415" s="13" t="s">
        <v>378</v>
      </c>
      <c r="Q415" s="13" t="s">
        <v>22</v>
      </c>
      <c r="R415" s="13" t="s">
        <v>23</v>
      </c>
      <c r="S415" s="6"/>
      <c r="T415" s="6"/>
      <c r="U415" s="6"/>
      <c r="V415" s="6"/>
      <c r="W415" s="6"/>
      <c r="X415" s="6"/>
      <c r="Y415" s="6"/>
    </row>
    <row r="416" spans="1:25" ht="15.75" customHeight="1">
      <c r="A416" s="13" t="s">
        <v>26</v>
      </c>
      <c r="B416" s="13">
        <v>700053700</v>
      </c>
      <c r="C416" s="13">
        <v>7000384</v>
      </c>
      <c r="D416" s="13">
        <v>5449</v>
      </c>
      <c r="E416" s="13">
        <v>-67.434315400000003</v>
      </c>
      <c r="F416" s="13">
        <v>-30.9444056</v>
      </c>
      <c r="G416" s="13" t="s">
        <v>380</v>
      </c>
      <c r="H416" s="13" t="s">
        <v>20</v>
      </c>
      <c r="I416" s="13">
        <v>123</v>
      </c>
      <c r="J416" s="13">
        <f t="shared" si="104"/>
        <v>6</v>
      </c>
      <c r="K416" s="13">
        <v>0</v>
      </c>
      <c r="L416" s="13">
        <f t="shared" si="105"/>
        <v>1</v>
      </c>
      <c r="M416" s="13"/>
      <c r="N416" s="13">
        <v>7</v>
      </c>
      <c r="O416" s="13" t="str">
        <f t="shared" si="107"/>
        <v>COINCIDE</v>
      </c>
      <c r="P416" s="13" t="s">
        <v>378</v>
      </c>
      <c r="Q416" s="13" t="s">
        <v>22</v>
      </c>
      <c r="R416" s="13" t="s">
        <v>23</v>
      </c>
      <c r="S416" s="6"/>
      <c r="T416" s="6"/>
      <c r="U416" s="6"/>
      <c r="V416" s="6"/>
      <c r="W416" s="6"/>
      <c r="X416" s="6"/>
      <c r="Y416" s="6"/>
    </row>
    <row r="417" spans="1:25" ht="15" customHeight="1">
      <c r="A417" s="13" t="s">
        <v>18</v>
      </c>
      <c r="B417" s="13">
        <v>700053600</v>
      </c>
      <c r="C417" s="13">
        <v>7000385</v>
      </c>
      <c r="D417" s="13">
        <v>5449</v>
      </c>
      <c r="E417" s="13">
        <v>-67.301170499999998</v>
      </c>
      <c r="F417" s="13">
        <v>-30.9543958</v>
      </c>
      <c r="G417" s="13" t="s">
        <v>379</v>
      </c>
      <c r="H417" s="13" t="s">
        <v>20</v>
      </c>
      <c r="I417" s="13">
        <v>133</v>
      </c>
      <c r="J417" s="13">
        <f t="shared" si="104"/>
        <v>6</v>
      </c>
      <c r="K417" s="13">
        <v>208</v>
      </c>
      <c r="L417" s="13">
        <f t="shared" si="105"/>
        <v>6</v>
      </c>
      <c r="M417" s="14">
        <v>0.10972222222222222</v>
      </c>
      <c r="N417" s="13">
        <v>6</v>
      </c>
      <c r="O417" s="13" t="str">
        <f>IF(AVERAGE(J417,L417)=N417,"COINCIDE",IF(L417=N417,"INCONGRUENTE","DISTINTO"))</f>
        <v>COINCIDE</v>
      </c>
      <c r="P417" s="13" t="s">
        <v>378</v>
      </c>
      <c r="Q417" s="13" t="s">
        <v>22</v>
      </c>
      <c r="R417" s="13" t="s">
        <v>23</v>
      </c>
      <c r="S417" s="6"/>
      <c r="T417" s="6"/>
      <c r="U417" s="6"/>
      <c r="V417" s="6"/>
      <c r="W417" s="6"/>
      <c r="X417" s="6"/>
      <c r="Y417" s="6"/>
    </row>
    <row r="418" spans="1:25" ht="15.75" customHeight="1">
      <c r="A418" s="13" t="s">
        <v>18</v>
      </c>
      <c r="B418" s="13">
        <v>700054300</v>
      </c>
      <c r="C418" s="13">
        <v>7000386</v>
      </c>
      <c r="D418" s="13">
        <v>5449</v>
      </c>
      <c r="E418" s="13">
        <v>-67.694183600000002</v>
      </c>
      <c r="F418" s="13">
        <v>-30.2214946</v>
      </c>
      <c r="G418" s="13" t="s">
        <v>381</v>
      </c>
      <c r="H418" s="13" t="s">
        <v>20</v>
      </c>
      <c r="I418" s="13">
        <v>167</v>
      </c>
      <c r="J418" s="13">
        <f t="shared" si="104"/>
        <v>6</v>
      </c>
      <c r="K418" s="13">
        <v>282</v>
      </c>
      <c r="L418" s="13">
        <f t="shared" si="105"/>
        <v>6</v>
      </c>
      <c r="M418" s="14">
        <v>0.14305555555555557</v>
      </c>
      <c r="N418" s="13">
        <v>7</v>
      </c>
      <c r="O418" s="13" t="str">
        <f t="shared" ref="O418:O419" si="108">IF(AVERAGE(J418,L418)=N418,"COINCIDE",IF(L418=N418,"INCONGRUENTE",IF(N418=7,"COINCIDE","DISTINTO")))</f>
        <v>COINCIDE</v>
      </c>
      <c r="P418" s="13" t="s">
        <v>378</v>
      </c>
      <c r="Q418" s="13" t="s">
        <v>22</v>
      </c>
      <c r="R418" s="13" t="s">
        <v>23</v>
      </c>
      <c r="S418" s="6"/>
      <c r="T418" s="6"/>
      <c r="U418" s="6"/>
      <c r="V418" s="6"/>
      <c r="W418" s="6"/>
      <c r="X418" s="6"/>
      <c r="Y418" s="6"/>
    </row>
    <row r="419" spans="1:25" ht="15.75" customHeight="1">
      <c r="A419" s="13" t="s">
        <v>18</v>
      </c>
      <c r="B419" s="13">
        <v>700053500</v>
      </c>
      <c r="C419" s="13">
        <v>7000387</v>
      </c>
      <c r="D419" s="13">
        <v>5449</v>
      </c>
      <c r="E419" s="13">
        <v>-67.249823399999997</v>
      </c>
      <c r="F419" s="13">
        <v>-30.934414199999999</v>
      </c>
      <c r="G419" s="13" t="s">
        <v>382</v>
      </c>
      <c r="H419" s="13" t="s">
        <v>20</v>
      </c>
      <c r="I419" s="13">
        <v>138</v>
      </c>
      <c r="J419" s="13">
        <f t="shared" si="104"/>
        <v>6</v>
      </c>
      <c r="K419" s="13">
        <v>214</v>
      </c>
      <c r="L419" s="13">
        <f t="shared" si="105"/>
        <v>6</v>
      </c>
      <c r="M419" s="14">
        <v>0.11666666666666665</v>
      </c>
      <c r="N419" s="13">
        <v>7</v>
      </c>
      <c r="O419" s="13" t="str">
        <f t="shared" si="108"/>
        <v>COINCIDE</v>
      </c>
      <c r="P419" s="13" t="s">
        <v>378</v>
      </c>
      <c r="Q419" s="13" t="s">
        <v>22</v>
      </c>
      <c r="R419" s="13" t="s">
        <v>23</v>
      </c>
      <c r="S419" s="6"/>
      <c r="T419" s="6"/>
      <c r="U419" s="6"/>
      <c r="V419" s="6"/>
      <c r="W419" s="6"/>
      <c r="X419" s="6"/>
      <c r="Y419" s="6"/>
    </row>
    <row r="420" spans="1:25" ht="15.75" customHeight="1">
      <c r="A420" s="13" t="s">
        <v>18</v>
      </c>
      <c r="B420" s="13">
        <v>700018500</v>
      </c>
      <c r="C420" s="13">
        <v>7000388</v>
      </c>
      <c r="D420" s="13">
        <v>5449</v>
      </c>
      <c r="E420" s="13">
        <v>-67.408544399999997</v>
      </c>
      <c r="F420" s="13">
        <v>-30.642045499999998</v>
      </c>
      <c r="G420" s="13" t="s">
        <v>383</v>
      </c>
      <c r="H420" s="13" t="s">
        <v>20</v>
      </c>
      <c r="I420" s="13">
        <v>147</v>
      </c>
      <c r="J420" s="13">
        <f t="shared" si="104"/>
        <v>6</v>
      </c>
      <c r="K420" s="13">
        <v>255</v>
      </c>
      <c r="L420" s="13">
        <f t="shared" si="105"/>
        <v>6</v>
      </c>
      <c r="M420" s="14">
        <v>0.13402777777777777</v>
      </c>
      <c r="N420" s="13">
        <v>6</v>
      </c>
      <c r="O420" s="13" t="str">
        <f t="shared" ref="O420:O421" si="109">IF(AVERAGE(J420,L420)=N420,"COINCIDE",IF(L420=N420,"INCONGRUENTE","DISTINTO"))</f>
        <v>COINCIDE</v>
      </c>
      <c r="P420" s="13" t="s">
        <v>378</v>
      </c>
      <c r="Q420" s="13" t="s">
        <v>22</v>
      </c>
      <c r="R420" s="13" t="s">
        <v>23</v>
      </c>
      <c r="S420" s="6"/>
      <c r="T420" s="6"/>
      <c r="U420" s="6"/>
      <c r="V420" s="6"/>
      <c r="W420" s="6"/>
      <c r="X420" s="6"/>
      <c r="Y420" s="6"/>
    </row>
    <row r="421" spans="1:25" ht="15.75" customHeight="1">
      <c r="A421" s="13" t="s">
        <v>18</v>
      </c>
      <c r="B421" s="13">
        <v>700054200</v>
      </c>
      <c r="C421" s="13">
        <v>7000389</v>
      </c>
      <c r="D421" s="13">
        <v>5449</v>
      </c>
      <c r="E421" s="13">
        <v>-67.425630900000002</v>
      </c>
      <c r="F421" s="13">
        <v>-30.586337</v>
      </c>
      <c r="G421" s="13" t="s">
        <v>384</v>
      </c>
      <c r="H421" s="13" t="s">
        <v>20</v>
      </c>
      <c r="I421" s="13">
        <v>150</v>
      </c>
      <c r="J421" s="13">
        <f t="shared" si="104"/>
        <v>6</v>
      </c>
      <c r="K421" s="13">
        <v>261</v>
      </c>
      <c r="L421" s="13">
        <f t="shared" si="105"/>
        <v>6</v>
      </c>
      <c r="M421" s="14">
        <v>0.14166666666666666</v>
      </c>
      <c r="N421" s="13">
        <v>6</v>
      </c>
      <c r="O421" s="13" t="str">
        <f t="shared" si="109"/>
        <v>COINCIDE</v>
      </c>
      <c r="P421" s="13" t="s">
        <v>378</v>
      </c>
      <c r="Q421" s="13" t="s">
        <v>22</v>
      </c>
      <c r="R421" s="13" t="s">
        <v>385</v>
      </c>
      <c r="S421" s="6"/>
      <c r="T421" s="6"/>
      <c r="U421" s="6"/>
      <c r="V421" s="6"/>
      <c r="W421" s="6"/>
      <c r="X421" s="6"/>
      <c r="Y421" s="6"/>
    </row>
    <row r="422" spans="1:25" ht="15.75" customHeight="1">
      <c r="A422" s="13" t="s">
        <v>18</v>
      </c>
      <c r="B422" s="13">
        <v>700018400</v>
      </c>
      <c r="C422" s="13">
        <v>7000390</v>
      </c>
      <c r="D422" s="13">
        <v>5449</v>
      </c>
      <c r="E422" s="13">
        <v>-67.696747700000003</v>
      </c>
      <c r="F422" s="13">
        <v>-30.321930099999999</v>
      </c>
      <c r="G422" s="13" t="s">
        <v>386</v>
      </c>
      <c r="H422" s="13" t="s">
        <v>20</v>
      </c>
      <c r="I422" s="13">
        <v>157</v>
      </c>
      <c r="J422" s="13">
        <f t="shared" si="104"/>
        <v>6</v>
      </c>
      <c r="K422" s="13">
        <v>293</v>
      </c>
      <c r="L422" s="13">
        <f t="shared" si="105"/>
        <v>6</v>
      </c>
      <c r="M422" s="14">
        <v>0.14861111111111111</v>
      </c>
      <c r="N422" s="13">
        <v>7</v>
      </c>
      <c r="O422" s="13" t="str">
        <f t="shared" ref="O422:O423" si="110">IF(AVERAGE(J422,L422)=N422,"COINCIDE",IF(L422=N422,"INCONGRUENTE",IF(N422=7,"COINCIDE","DISTINTO")))</f>
        <v>COINCIDE</v>
      </c>
      <c r="P422" s="13" t="s">
        <v>378</v>
      </c>
      <c r="Q422" s="13" t="s">
        <v>22</v>
      </c>
      <c r="R422" s="13" t="s">
        <v>23</v>
      </c>
      <c r="S422" s="6"/>
      <c r="T422" s="6"/>
      <c r="U422" s="6"/>
      <c r="V422" s="6"/>
      <c r="W422" s="6"/>
      <c r="X422" s="6"/>
      <c r="Y422" s="6"/>
    </row>
    <row r="423" spans="1:25" ht="15.75" customHeight="1">
      <c r="A423" s="13" t="s">
        <v>18</v>
      </c>
      <c r="B423" s="13">
        <v>700018300</v>
      </c>
      <c r="C423" s="13">
        <v>7000391</v>
      </c>
      <c r="D423" s="13">
        <v>5449</v>
      </c>
      <c r="E423" s="13">
        <v>-67.389163699999997</v>
      </c>
      <c r="F423" s="13">
        <v>-30.6929047</v>
      </c>
      <c r="G423" s="13" t="s">
        <v>387</v>
      </c>
      <c r="H423" s="13" t="s">
        <v>20</v>
      </c>
      <c r="I423" s="13">
        <v>150</v>
      </c>
      <c r="J423" s="13">
        <f t="shared" si="104"/>
        <v>6</v>
      </c>
      <c r="K423" s="13">
        <v>262</v>
      </c>
      <c r="L423" s="13">
        <f t="shared" si="105"/>
        <v>6</v>
      </c>
      <c r="M423" s="14">
        <v>0.14097222222222222</v>
      </c>
      <c r="N423" s="13">
        <v>7</v>
      </c>
      <c r="O423" s="13" t="str">
        <f t="shared" si="110"/>
        <v>COINCIDE</v>
      </c>
      <c r="P423" s="13" t="s">
        <v>378</v>
      </c>
      <c r="Q423" s="13" t="s">
        <v>22</v>
      </c>
      <c r="R423" s="13" t="s">
        <v>388</v>
      </c>
      <c r="S423" s="6"/>
      <c r="T423" s="6"/>
      <c r="U423" s="6"/>
      <c r="V423" s="6"/>
      <c r="W423" s="6"/>
      <c r="X423" s="6"/>
      <c r="Y423" s="6"/>
    </row>
    <row r="424" spans="1:25" ht="15.75" customHeight="1">
      <c r="A424" s="13" t="s">
        <v>18</v>
      </c>
      <c r="B424" s="13">
        <v>700053400</v>
      </c>
      <c r="C424" s="13">
        <v>7000392</v>
      </c>
      <c r="D424" s="13">
        <v>5449</v>
      </c>
      <c r="E424" s="13">
        <v>-67.281686399999998</v>
      </c>
      <c r="F424" s="13">
        <v>-31.070203299999999</v>
      </c>
      <c r="G424" s="13" t="s">
        <v>389</v>
      </c>
      <c r="H424" s="13" t="s">
        <v>20</v>
      </c>
      <c r="I424" s="13">
        <v>129</v>
      </c>
      <c r="J424" s="13">
        <f t="shared" si="104"/>
        <v>6</v>
      </c>
      <c r="K424" s="13">
        <v>194</v>
      </c>
      <c r="L424" s="13">
        <f t="shared" si="105"/>
        <v>6</v>
      </c>
      <c r="M424" s="14">
        <v>0.10347222222222223</v>
      </c>
      <c r="N424" s="13">
        <v>6</v>
      </c>
      <c r="O424" s="13" t="str">
        <f>IF(AVERAGE(J424,L424)=N424,"COINCIDE",IF(L424=N424,"INCONGRUENTE","DISTINTO"))</f>
        <v>COINCIDE</v>
      </c>
      <c r="P424" s="13" t="s">
        <v>378</v>
      </c>
      <c r="Q424" s="13" t="s">
        <v>22</v>
      </c>
      <c r="R424" s="13" t="s">
        <v>23</v>
      </c>
      <c r="S424" s="6"/>
      <c r="T424" s="6"/>
      <c r="U424" s="6"/>
      <c r="V424" s="6"/>
      <c r="W424" s="6"/>
      <c r="X424" s="6"/>
      <c r="Y424" s="6"/>
    </row>
    <row r="425" spans="1:25" ht="15.75" customHeight="1">
      <c r="A425" s="13" t="s">
        <v>18</v>
      </c>
      <c r="B425" s="13">
        <v>700018200</v>
      </c>
      <c r="C425" s="13">
        <v>7000393</v>
      </c>
      <c r="D425" s="13">
        <v>5449</v>
      </c>
      <c r="E425" s="13">
        <v>-67.476011299999996</v>
      </c>
      <c r="F425" s="13">
        <v>-30.767105099999998</v>
      </c>
      <c r="G425" s="13" t="s">
        <v>390</v>
      </c>
      <c r="H425" s="13" t="s">
        <v>20</v>
      </c>
      <c r="I425" s="13">
        <v>133</v>
      </c>
      <c r="J425" s="13">
        <f t="shared" si="104"/>
        <v>6</v>
      </c>
      <c r="K425" s="13">
        <v>253</v>
      </c>
      <c r="L425" s="13">
        <f t="shared" si="105"/>
        <v>6</v>
      </c>
      <c r="M425" s="14">
        <v>0.14861111111111111</v>
      </c>
      <c r="N425" s="13">
        <v>7</v>
      </c>
      <c r="O425" s="13" t="str">
        <f>IF(AVERAGE(J425,L425)=N425,"COINCIDE",IF(L425=N425,"INCONGRUENTE",IF(N425=7,"COINCIDE","DISTINTO")))</f>
        <v>COINCIDE</v>
      </c>
      <c r="P425" s="13" t="s">
        <v>378</v>
      </c>
      <c r="Q425" s="13" t="s">
        <v>22</v>
      </c>
      <c r="R425" s="13" t="s">
        <v>142</v>
      </c>
      <c r="S425" s="6"/>
      <c r="T425" s="6"/>
      <c r="U425" s="6"/>
      <c r="V425" s="6"/>
      <c r="W425" s="6"/>
      <c r="X425" s="6"/>
      <c r="Y425" s="6"/>
    </row>
    <row r="426" spans="1:25" ht="15.75" customHeight="1">
      <c r="A426" s="13" t="s">
        <v>18</v>
      </c>
      <c r="B426" s="13">
        <v>700054100</v>
      </c>
      <c r="C426" s="13">
        <v>7000394</v>
      </c>
      <c r="D426" s="13">
        <v>5449</v>
      </c>
      <c r="E426" s="13">
        <v>-67.415106699999995</v>
      </c>
      <c r="F426" s="13">
        <v>-30.613267199999999</v>
      </c>
      <c r="G426" s="13" t="s">
        <v>391</v>
      </c>
      <c r="H426" s="13" t="s">
        <v>20</v>
      </c>
      <c r="I426" s="13">
        <v>149</v>
      </c>
      <c r="J426" s="13">
        <f t="shared" si="104"/>
        <v>6</v>
      </c>
      <c r="K426" s="13">
        <v>257</v>
      </c>
      <c r="L426" s="13">
        <f t="shared" si="105"/>
        <v>6</v>
      </c>
      <c r="M426" s="14">
        <v>0.13749999999999998</v>
      </c>
      <c r="N426" s="13">
        <v>6</v>
      </c>
      <c r="O426" s="13" t="str">
        <f>IF(AVERAGE(J426,L426)=N426,"COINCIDE",IF(L426=N426,"INCONGRUENTE","DISTINTO"))</f>
        <v>COINCIDE</v>
      </c>
      <c r="P426" s="13" t="s">
        <v>378</v>
      </c>
      <c r="Q426" s="13" t="s">
        <v>22</v>
      </c>
      <c r="R426" s="13" t="s">
        <v>385</v>
      </c>
      <c r="S426" s="6"/>
      <c r="T426" s="6"/>
      <c r="U426" s="6"/>
      <c r="V426" s="6"/>
      <c r="W426" s="6"/>
      <c r="X426" s="6"/>
      <c r="Y426" s="6"/>
    </row>
    <row r="427" spans="1:25" ht="15.75" customHeight="1">
      <c r="A427" s="13" t="s">
        <v>18</v>
      </c>
      <c r="B427" s="13">
        <v>700054000</v>
      </c>
      <c r="C427" s="13">
        <v>7000395</v>
      </c>
      <c r="D427" s="13">
        <v>5449</v>
      </c>
      <c r="E427" s="13">
        <v>-67.541470000000004</v>
      </c>
      <c r="F427" s="13">
        <v>-30.566728399999999</v>
      </c>
      <c r="G427" s="13" t="s">
        <v>392</v>
      </c>
      <c r="H427" s="13" t="s">
        <v>20</v>
      </c>
      <c r="I427" s="13">
        <v>143</v>
      </c>
      <c r="J427" s="13">
        <f t="shared" si="104"/>
        <v>6</v>
      </c>
      <c r="K427" s="13">
        <v>261</v>
      </c>
      <c r="L427" s="13">
        <f t="shared" si="105"/>
        <v>6</v>
      </c>
      <c r="M427" s="14">
        <v>0.13819444444444443</v>
      </c>
      <c r="N427" s="13">
        <v>7</v>
      </c>
      <c r="O427" s="13" t="str">
        <f>IF(AVERAGE(J427,L427)=N427,"COINCIDE",IF(L427=N427,"INCONGRUENTE",IF(N427=7,"COINCIDE","DISTINTO")))</f>
        <v>COINCIDE</v>
      </c>
      <c r="P427" s="13" t="s">
        <v>378</v>
      </c>
      <c r="Q427" s="13" t="s">
        <v>22</v>
      </c>
      <c r="R427" s="13" t="s">
        <v>23</v>
      </c>
      <c r="S427" s="6"/>
      <c r="T427" s="6"/>
      <c r="U427" s="6"/>
      <c r="V427" s="6"/>
      <c r="W427" s="6"/>
      <c r="X427" s="6"/>
      <c r="Y427" s="6"/>
    </row>
    <row r="428" spans="1:25" ht="15.75" customHeight="1">
      <c r="A428" s="13" t="s">
        <v>26</v>
      </c>
      <c r="B428" s="13">
        <v>700041700</v>
      </c>
      <c r="C428" s="13">
        <v>7000396</v>
      </c>
      <c r="D428" s="13">
        <v>5449</v>
      </c>
      <c r="E428" s="13">
        <v>-67.457439199999996</v>
      </c>
      <c r="F428" s="13">
        <v>-30.637505600000001</v>
      </c>
      <c r="G428" s="13" t="s">
        <v>393</v>
      </c>
      <c r="H428" s="13" t="s">
        <v>20</v>
      </c>
      <c r="I428" s="13">
        <v>144</v>
      </c>
      <c r="J428" s="13">
        <f t="shared" si="104"/>
        <v>6</v>
      </c>
      <c r="K428" s="13">
        <v>250</v>
      </c>
      <c r="L428" s="13">
        <f t="shared" si="105"/>
        <v>6</v>
      </c>
      <c r="M428" s="14">
        <v>0.13055555555555556</v>
      </c>
      <c r="N428" s="13">
        <v>6</v>
      </c>
      <c r="O428" s="13" t="str">
        <f t="shared" ref="O428:O430" si="111">IF(AVERAGE(J428,L428)=N428,"COINCIDE",IF(L428=N428,"INCONGRUENTE","DISTINTO"))</f>
        <v>COINCIDE</v>
      </c>
      <c r="P428" s="13" t="s">
        <v>378</v>
      </c>
      <c r="Q428" s="13" t="s">
        <v>22</v>
      </c>
      <c r="R428" s="13" t="s">
        <v>23</v>
      </c>
      <c r="S428" s="6"/>
      <c r="T428" s="6"/>
      <c r="U428" s="6"/>
      <c r="V428" s="6"/>
      <c r="W428" s="6"/>
      <c r="X428" s="6"/>
      <c r="Y428" s="6"/>
    </row>
    <row r="429" spans="1:25" ht="15.75" customHeight="1">
      <c r="A429" s="13" t="s">
        <v>18</v>
      </c>
      <c r="B429" s="13">
        <v>700054600</v>
      </c>
      <c r="C429" s="13">
        <v>7000397</v>
      </c>
      <c r="D429" s="13">
        <v>5449</v>
      </c>
      <c r="E429" s="13">
        <v>-67.467138599999998</v>
      </c>
      <c r="F429" s="13">
        <v>-30.6355</v>
      </c>
      <c r="G429" s="13" t="s">
        <v>393</v>
      </c>
      <c r="H429" s="13" t="s">
        <v>20</v>
      </c>
      <c r="I429" s="13">
        <v>144</v>
      </c>
      <c r="J429" s="13">
        <f t="shared" si="104"/>
        <v>6</v>
      </c>
      <c r="K429" s="13">
        <v>249</v>
      </c>
      <c r="L429" s="13">
        <f t="shared" si="105"/>
        <v>6</v>
      </c>
      <c r="M429" s="14">
        <v>0.12916666666666668</v>
      </c>
      <c r="N429" s="13">
        <v>6</v>
      </c>
      <c r="O429" s="13" t="str">
        <f t="shared" si="111"/>
        <v>COINCIDE</v>
      </c>
      <c r="P429" s="13" t="s">
        <v>378</v>
      </c>
      <c r="Q429" s="13" t="s">
        <v>22</v>
      </c>
      <c r="R429" s="13" t="s">
        <v>23</v>
      </c>
      <c r="S429" s="6"/>
      <c r="T429" s="6"/>
      <c r="U429" s="6"/>
      <c r="V429" s="6"/>
      <c r="W429" s="6"/>
      <c r="X429" s="6"/>
      <c r="Y429" s="6"/>
    </row>
    <row r="430" spans="1:25" ht="15.75" customHeight="1">
      <c r="A430" s="13" t="s">
        <v>38</v>
      </c>
      <c r="B430" s="13">
        <v>700054700</v>
      </c>
      <c r="C430" s="13">
        <v>7000398</v>
      </c>
      <c r="D430" s="13">
        <v>5449</v>
      </c>
      <c r="E430" s="13">
        <v>-67.464112099999994</v>
      </c>
      <c r="F430" s="13">
        <v>-30.627808399999999</v>
      </c>
      <c r="G430" s="13" t="s">
        <v>393</v>
      </c>
      <c r="H430" s="13" t="s">
        <v>20</v>
      </c>
      <c r="I430" s="13">
        <v>143</v>
      </c>
      <c r="J430" s="13">
        <f t="shared" si="104"/>
        <v>6</v>
      </c>
      <c r="K430" s="13">
        <v>250</v>
      </c>
      <c r="L430" s="13">
        <f t="shared" si="105"/>
        <v>6</v>
      </c>
      <c r="M430" s="14">
        <v>0.13055555555555556</v>
      </c>
      <c r="N430" s="13">
        <v>6</v>
      </c>
      <c r="O430" s="13" t="str">
        <f t="shared" si="111"/>
        <v>COINCIDE</v>
      </c>
      <c r="P430" s="13" t="s">
        <v>378</v>
      </c>
      <c r="Q430" s="13" t="s">
        <v>22</v>
      </c>
      <c r="R430" s="13" t="s">
        <v>394</v>
      </c>
      <c r="S430" s="6"/>
      <c r="T430" s="6"/>
      <c r="U430" s="6"/>
      <c r="V430" s="6"/>
      <c r="W430" s="6"/>
      <c r="X430" s="6"/>
      <c r="Y430" s="6"/>
    </row>
    <row r="431" spans="1:25" ht="15.75" customHeight="1">
      <c r="A431" s="13" t="s">
        <v>18</v>
      </c>
      <c r="B431" s="13">
        <v>700053900</v>
      </c>
      <c r="C431" s="13">
        <v>7000399</v>
      </c>
      <c r="D431" s="13">
        <v>5449</v>
      </c>
      <c r="E431" s="13">
        <v>-67.505866800000007</v>
      </c>
      <c r="F431" s="13">
        <v>-30.681557999999999</v>
      </c>
      <c r="G431" s="13" t="s">
        <v>46</v>
      </c>
      <c r="H431" s="13" t="s">
        <v>20</v>
      </c>
      <c r="I431" s="13">
        <v>136</v>
      </c>
      <c r="J431" s="13">
        <f t="shared" si="104"/>
        <v>6</v>
      </c>
      <c r="K431" s="13">
        <v>259</v>
      </c>
      <c r="L431" s="13">
        <f t="shared" si="105"/>
        <v>6</v>
      </c>
      <c r="M431" s="14">
        <v>0.1423611111111111</v>
      </c>
      <c r="N431" s="13">
        <v>7</v>
      </c>
      <c r="O431" s="13" t="str">
        <f t="shared" ref="O431:O435" si="112">IF(AVERAGE(J431,L431)=N431,"COINCIDE",IF(L431=N431,"INCONGRUENTE",IF(N431=7,"COINCIDE","DISTINTO")))</f>
        <v>COINCIDE</v>
      </c>
      <c r="P431" s="13" t="s">
        <v>378</v>
      </c>
      <c r="Q431" s="13" t="s">
        <v>22</v>
      </c>
      <c r="R431" s="13" t="s">
        <v>23</v>
      </c>
      <c r="S431" s="6"/>
      <c r="T431" s="6"/>
      <c r="U431" s="6"/>
      <c r="V431" s="6"/>
      <c r="W431" s="6"/>
      <c r="X431" s="6"/>
      <c r="Y431" s="6"/>
    </row>
    <row r="432" spans="1:25" ht="15.75" customHeight="1">
      <c r="A432" s="13" t="s">
        <v>26</v>
      </c>
      <c r="B432" s="13">
        <v>700053800</v>
      </c>
      <c r="C432" s="13">
        <v>7000400</v>
      </c>
      <c r="D432" s="13">
        <v>5449</v>
      </c>
      <c r="E432" s="13">
        <v>-67.539589599999999</v>
      </c>
      <c r="F432" s="13">
        <v>-30.875066700000001</v>
      </c>
      <c r="G432" s="13" t="s">
        <v>395</v>
      </c>
      <c r="H432" s="13" t="s">
        <v>20</v>
      </c>
      <c r="I432" s="13">
        <v>119</v>
      </c>
      <c r="J432" s="13">
        <f t="shared" si="104"/>
        <v>6</v>
      </c>
      <c r="K432" s="13">
        <v>272</v>
      </c>
      <c r="L432" s="13">
        <f t="shared" si="105"/>
        <v>6</v>
      </c>
      <c r="M432" s="14">
        <v>0.18819444444444444</v>
      </c>
      <c r="N432" s="13">
        <v>7</v>
      </c>
      <c r="O432" s="13" t="str">
        <f t="shared" si="112"/>
        <v>COINCIDE</v>
      </c>
      <c r="P432" s="13" t="s">
        <v>378</v>
      </c>
      <c r="Q432" s="13" t="s">
        <v>22</v>
      </c>
      <c r="R432" s="13" t="s">
        <v>23</v>
      </c>
      <c r="S432" s="6"/>
      <c r="T432" s="6"/>
      <c r="U432" s="6"/>
      <c r="V432" s="6"/>
      <c r="W432" s="6"/>
      <c r="X432" s="6"/>
      <c r="Y432" s="6"/>
    </row>
    <row r="433" spans="1:25" ht="15.75" customHeight="1">
      <c r="A433" s="13" t="s">
        <v>26</v>
      </c>
      <c r="B433" s="13">
        <v>700018100</v>
      </c>
      <c r="C433" s="13">
        <v>7000401</v>
      </c>
      <c r="D433" s="13">
        <v>5449</v>
      </c>
      <c r="E433" s="13">
        <v>-67.586695199999994</v>
      </c>
      <c r="F433" s="13">
        <v>-30.728852499999999</v>
      </c>
      <c r="G433" s="13" t="s">
        <v>396</v>
      </c>
      <c r="H433" s="13" t="s">
        <v>20</v>
      </c>
      <c r="I433" s="13">
        <v>127</v>
      </c>
      <c r="J433" s="13">
        <f t="shared" si="104"/>
        <v>6</v>
      </c>
      <c r="K433" s="13" t="s">
        <v>70</v>
      </c>
      <c r="L433" s="13">
        <f t="shared" si="105"/>
        <v>6</v>
      </c>
      <c r="M433" s="13"/>
      <c r="N433" s="13">
        <v>7</v>
      </c>
      <c r="O433" s="13" t="str">
        <f t="shared" si="112"/>
        <v>COINCIDE</v>
      </c>
      <c r="P433" s="13" t="s">
        <v>378</v>
      </c>
      <c r="Q433" s="13" t="s">
        <v>22</v>
      </c>
      <c r="R433" s="13" t="s">
        <v>142</v>
      </c>
      <c r="S433" s="6"/>
      <c r="T433" s="6"/>
      <c r="U433" s="6"/>
      <c r="V433" s="6"/>
      <c r="W433" s="6"/>
      <c r="X433" s="6"/>
      <c r="Y433" s="6"/>
    </row>
    <row r="434" spans="1:25" ht="15.75" customHeight="1">
      <c r="A434" s="13" t="s">
        <v>18</v>
      </c>
      <c r="B434" s="13">
        <v>700053300</v>
      </c>
      <c r="C434" s="13">
        <v>7000402</v>
      </c>
      <c r="D434" s="13">
        <v>5449</v>
      </c>
      <c r="E434" s="13">
        <v>-67.117521499999995</v>
      </c>
      <c r="F434" s="13">
        <v>-31.074154199999999</v>
      </c>
      <c r="G434" s="13" t="s">
        <v>397</v>
      </c>
      <c r="H434" s="13" t="s">
        <v>20</v>
      </c>
      <c r="I434" s="13">
        <v>143</v>
      </c>
      <c r="J434" s="13">
        <f t="shared" si="104"/>
        <v>6</v>
      </c>
      <c r="K434" s="13">
        <v>198</v>
      </c>
      <c r="L434" s="13">
        <f t="shared" si="105"/>
        <v>6</v>
      </c>
      <c r="M434" s="13"/>
      <c r="N434" s="13">
        <v>7</v>
      </c>
      <c r="O434" s="13" t="str">
        <f t="shared" si="112"/>
        <v>COINCIDE</v>
      </c>
      <c r="P434" s="13" t="s">
        <v>378</v>
      </c>
      <c r="Q434" s="13" t="s">
        <v>22</v>
      </c>
      <c r="R434" s="13" t="s">
        <v>142</v>
      </c>
      <c r="S434" s="6"/>
      <c r="T434" s="6"/>
      <c r="U434" s="6"/>
      <c r="V434" s="6"/>
      <c r="W434" s="6"/>
      <c r="X434" s="6"/>
      <c r="Y434" s="6"/>
    </row>
    <row r="435" spans="1:25" ht="15.75" customHeight="1">
      <c r="A435" s="13" t="s">
        <v>18</v>
      </c>
      <c r="B435" s="13">
        <v>700017800</v>
      </c>
      <c r="C435" s="13">
        <v>7000403</v>
      </c>
      <c r="D435" s="13">
        <v>5449</v>
      </c>
      <c r="E435" s="13">
        <v>-67.1663657</v>
      </c>
      <c r="F435" s="13">
        <v>-31.201619399999998</v>
      </c>
      <c r="G435" s="13" t="s">
        <v>398</v>
      </c>
      <c r="H435" s="13" t="s">
        <v>20</v>
      </c>
      <c r="I435" s="13">
        <v>134</v>
      </c>
      <c r="J435" s="13">
        <f t="shared" si="104"/>
        <v>6</v>
      </c>
      <c r="K435" s="13">
        <v>183</v>
      </c>
      <c r="L435" s="13">
        <f t="shared" si="105"/>
        <v>6</v>
      </c>
      <c r="M435" s="14">
        <v>0.11388888888888889</v>
      </c>
      <c r="N435" s="13">
        <v>7</v>
      </c>
      <c r="O435" s="13" t="str">
        <f t="shared" si="112"/>
        <v>COINCIDE</v>
      </c>
      <c r="P435" s="13" t="s">
        <v>378</v>
      </c>
      <c r="Q435" s="13" t="s">
        <v>22</v>
      </c>
      <c r="R435" s="13" t="s">
        <v>142</v>
      </c>
      <c r="S435" s="6"/>
      <c r="T435" s="6"/>
      <c r="U435" s="6"/>
      <c r="V435" s="6"/>
      <c r="W435" s="6"/>
      <c r="X435" s="6"/>
      <c r="Y435" s="6"/>
    </row>
    <row r="436" spans="1:25" ht="15.75" customHeight="1">
      <c r="A436" s="13" t="s">
        <v>40</v>
      </c>
      <c r="B436" s="13">
        <v>700079400</v>
      </c>
      <c r="C436" s="13">
        <v>7000794</v>
      </c>
      <c r="D436" s="13">
        <v>5449</v>
      </c>
      <c r="E436" s="13">
        <v>-67.457234900000003</v>
      </c>
      <c r="F436" s="13">
        <v>-30.640052799999999</v>
      </c>
      <c r="G436" s="13" t="s">
        <v>393</v>
      </c>
      <c r="H436" s="13" t="s">
        <v>20</v>
      </c>
      <c r="I436" s="13">
        <v>144</v>
      </c>
      <c r="J436" s="13">
        <f t="shared" si="104"/>
        <v>6</v>
      </c>
      <c r="K436" s="13">
        <v>250</v>
      </c>
      <c r="L436" s="13">
        <f t="shared" si="105"/>
        <v>6</v>
      </c>
      <c r="M436" s="14">
        <v>0.13055555555555556</v>
      </c>
      <c r="N436" s="13">
        <v>6</v>
      </c>
      <c r="O436" s="13" t="str">
        <f t="shared" ref="O436:O442" si="113">IF(AVERAGE(J436,L436)=N436,"COINCIDE",IF(L436=N436,"INCONGRUENTE","DISTINTO"))</f>
        <v>COINCIDE</v>
      </c>
      <c r="P436" s="13" t="s">
        <v>378</v>
      </c>
      <c r="Q436" s="13" t="s">
        <v>22</v>
      </c>
      <c r="R436" s="13" t="s">
        <v>399</v>
      </c>
      <c r="S436" s="6"/>
      <c r="T436" s="6"/>
      <c r="U436" s="6"/>
      <c r="V436" s="6"/>
      <c r="W436" s="6"/>
      <c r="X436" s="6"/>
      <c r="Y436" s="6"/>
    </row>
    <row r="437" spans="1:25" ht="14.25" customHeight="1">
      <c r="A437" s="13" t="s">
        <v>136</v>
      </c>
      <c r="B437" s="13">
        <v>700017900</v>
      </c>
      <c r="C437" s="13">
        <v>7050153</v>
      </c>
      <c r="D437" s="13">
        <v>5449</v>
      </c>
      <c r="E437" s="13">
        <v>-67.459092699999999</v>
      </c>
      <c r="F437" s="13">
        <v>-30.637272200000002</v>
      </c>
      <c r="G437" s="13" t="s">
        <v>393</v>
      </c>
      <c r="H437" s="13" t="s">
        <v>20</v>
      </c>
      <c r="I437" s="13">
        <v>144</v>
      </c>
      <c r="J437" s="13">
        <f t="shared" si="104"/>
        <v>6</v>
      </c>
      <c r="K437" s="13">
        <v>250</v>
      </c>
      <c r="L437" s="13">
        <f t="shared" si="105"/>
        <v>6</v>
      </c>
      <c r="M437" s="14">
        <v>0.13055555555555556</v>
      </c>
      <c r="N437" s="13">
        <v>6</v>
      </c>
      <c r="O437" s="13" t="str">
        <f t="shared" si="113"/>
        <v>COINCIDE</v>
      </c>
      <c r="P437" s="13" t="s">
        <v>378</v>
      </c>
      <c r="Q437" s="13" t="s">
        <v>22</v>
      </c>
      <c r="R437" s="13" t="s">
        <v>23</v>
      </c>
      <c r="S437" s="6"/>
      <c r="T437" s="6"/>
      <c r="U437" s="6"/>
      <c r="V437" s="6"/>
      <c r="W437" s="6"/>
      <c r="X437" s="6"/>
      <c r="Y437" s="6"/>
    </row>
    <row r="438" spans="1:25" ht="15.75" customHeight="1">
      <c r="A438" s="13" t="s">
        <v>42</v>
      </c>
      <c r="B438" s="13">
        <v>700085800</v>
      </c>
      <c r="C438" s="13" t="s">
        <v>400</v>
      </c>
      <c r="D438" s="13">
        <v>5449</v>
      </c>
      <c r="E438" s="13">
        <v>-67.457341200000002</v>
      </c>
      <c r="F438" s="13">
        <v>-30.640835800000001</v>
      </c>
      <c r="G438" s="13" t="s">
        <v>393</v>
      </c>
      <c r="H438" s="13" t="s">
        <v>20</v>
      </c>
      <c r="I438" s="13">
        <v>144</v>
      </c>
      <c r="J438" s="13">
        <f t="shared" si="104"/>
        <v>6</v>
      </c>
      <c r="K438" s="13">
        <v>250</v>
      </c>
      <c r="L438" s="13">
        <f t="shared" si="105"/>
        <v>6</v>
      </c>
      <c r="M438" s="14">
        <v>0.13055555555555556</v>
      </c>
      <c r="N438" s="13">
        <v>6</v>
      </c>
      <c r="O438" s="13" t="str">
        <f t="shared" si="113"/>
        <v>COINCIDE</v>
      </c>
      <c r="P438" s="13" t="s">
        <v>378</v>
      </c>
      <c r="Q438" s="13" t="s">
        <v>22</v>
      </c>
      <c r="R438" s="13" t="s">
        <v>401</v>
      </c>
      <c r="S438" s="6"/>
      <c r="T438" s="6"/>
      <c r="U438" s="6"/>
      <c r="V438" s="6"/>
      <c r="W438" s="6"/>
      <c r="X438" s="6"/>
      <c r="Y438" s="6"/>
    </row>
    <row r="439" spans="1:25" ht="15.75" customHeight="1">
      <c r="A439" s="13" t="s">
        <v>18</v>
      </c>
      <c r="B439" s="13">
        <v>700029400</v>
      </c>
      <c r="C439" s="13">
        <v>7000427</v>
      </c>
      <c r="D439" s="13">
        <v>5401</v>
      </c>
      <c r="E439" s="13">
        <v>-68.752198899999996</v>
      </c>
      <c r="F439" s="13">
        <v>-31.5448573</v>
      </c>
      <c r="G439" s="13" t="s">
        <v>151</v>
      </c>
      <c r="H439" s="13" t="s">
        <v>20</v>
      </c>
      <c r="I439" s="13">
        <v>21.5</v>
      </c>
      <c r="J439" s="13">
        <f t="shared" si="104"/>
        <v>4</v>
      </c>
      <c r="K439" s="13">
        <v>25</v>
      </c>
      <c r="L439" s="13">
        <f t="shared" si="105"/>
        <v>4</v>
      </c>
      <c r="M439" s="14">
        <v>2.7083333333333334E-2</v>
      </c>
      <c r="N439" s="13">
        <v>4</v>
      </c>
      <c r="O439" s="13" t="str">
        <f t="shared" si="113"/>
        <v>COINCIDE</v>
      </c>
      <c r="P439" s="13" t="s">
        <v>151</v>
      </c>
      <c r="Q439" s="13" t="s">
        <v>22</v>
      </c>
      <c r="R439" s="13" t="s">
        <v>23</v>
      </c>
      <c r="S439" s="6"/>
      <c r="T439" s="6"/>
      <c r="U439" s="6"/>
      <c r="V439" s="6"/>
      <c r="W439" s="6"/>
      <c r="X439" s="6"/>
      <c r="Y439" s="6"/>
    </row>
    <row r="440" spans="1:25" ht="15.75" customHeight="1">
      <c r="A440" s="7" t="s">
        <v>18</v>
      </c>
      <c r="B440" s="7">
        <v>700029600</v>
      </c>
      <c r="C440" s="7">
        <v>7000430</v>
      </c>
      <c r="D440" s="7">
        <v>5401</v>
      </c>
      <c r="E440" s="7">
        <v>-68.730017799999999</v>
      </c>
      <c r="F440" s="7">
        <v>-31.552246</v>
      </c>
      <c r="G440" s="7" t="s">
        <v>402</v>
      </c>
      <c r="H440" s="7" t="s">
        <v>20</v>
      </c>
      <c r="I440" s="7">
        <v>19.5</v>
      </c>
      <c r="J440" s="35">
        <f t="shared" si="104"/>
        <v>3</v>
      </c>
      <c r="K440" s="7">
        <v>23</v>
      </c>
      <c r="L440" s="35">
        <f t="shared" si="105"/>
        <v>4</v>
      </c>
      <c r="M440" s="9">
        <v>2.4999999999999998E-2</v>
      </c>
      <c r="N440" s="7">
        <v>4</v>
      </c>
      <c r="O440" s="35" t="str">
        <f t="shared" si="113"/>
        <v>INCONGRUENTE</v>
      </c>
      <c r="P440" s="7" t="s">
        <v>151</v>
      </c>
      <c r="Q440" s="7" t="s">
        <v>22</v>
      </c>
      <c r="R440" s="7" t="s">
        <v>23</v>
      </c>
      <c r="S440" s="6"/>
      <c r="T440" s="6"/>
      <c r="U440" s="6"/>
      <c r="V440" s="6"/>
      <c r="W440" s="6"/>
      <c r="X440" s="6"/>
      <c r="Y440" s="6"/>
    </row>
    <row r="441" spans="1:25" ht="15.75" customHeight="1">
      <c r="A441" s="7" t="s">
        <v>38</v>
      </c>
      <c r="B441" s="7">
        <v>700075100</v>
      </c>
      <c r="C441" s="7" t="s">
        <v>403</v>
      </c>
      <c r="D441" s="7">
        <v>5401</v>
      </c>
      <c r="E441" s="7">
        <v>-68.715481100000005</v>
      </c>
      <c r="F441" s="7">
        <v>-31.536796500000001</v>
      </c>
      <c r="G441" s="7" t="s">
        <v>151</v>
      </c>
      <c r="H441" s="7" t="s">
        <v>20</v>
      </c>
      <c r="I441" s="7">
        <v>18</v>
      </c>
      <c r="J441" s="35">
        <f t="shared" si="104"/>
        <v>3</v>
      </c>
      <c r="K441" s="7">
        <v>24</v>
      </c>
      <c r="L441" s="35">
        <f t="shared" si="105"/>
        <v>4</v>
      </c>
      <c r="M441" s="9">
        <v>2.4999999999999998E-2</v>
      </c>
      <c r="N441" s="7">
        <v>4</v>
      </c>
      <c r="O441" s="35" t="str">
        <f t="shared" si="113"/>
        <v>INCONGRUENTE</v>
      </c>
      <c r="P441" s="7" t="s">
        <v>151</v>
      </c>
      <c r="Q441" s="7" t="s">
        <v>22</v>
      </c>
      <c r="R441" s="7" t="s">
        <v>23</v>
      </c>
      <c r="S441" s="6"/>
      <c r="T441" s="6"/>
      <c r="U441" s="6"/>
      <c r="V441" s="6"/>
      <c r="W441" s="6"/>
      <c r="X441" s="6"/>
      <c r="Y441" s="6"/>
    </row>
    <row r="442" spans="1:25" ht="15.75" customHeight="1">
      <c r="A442" s="7" t="s">
        <v>40</v>
      </c>
      <c r="B442" s="7">
        <v>700029500</v>
      </c>
      <c r="C442" s="7" t="s">
        <v>404</v>
      </c>
      <c r="D442" s="7">
        <v>5401</v>
      </c>
      <c r="E442" s="7">
        <v>-68.732582100000002</v>
      </c>
      <c r="F442" s="7">
        <v>-31.548953900000001</v>
      </c>
      <c r="G442" s="7" t="s">
        <v>151</v>
      </c>
      <c r="H442" s="7" t="s">
        <v>20</v>
      </c>
      <c r="I442" s="7">
        <v>19.600000000000001</v>
      </c>
      <c r="J442" s="35">
        <f t="shared" si="104"/>
        <v>3</v>
      </c>
      <c r="K442" s="7">
        <v>23</v>
      </c>
      <c r="L442" s="35">
        <f t="shared" si="105"/>
        <v>4</v>
      </c>
      <c r="M442" s="9">
        <v>2.5694444444444447E-2</v>
      </c>
      <c r="N442" s="7">
        <v>4</v>
      </c>
      <c r="O442" s="35" t="str">
        <f t="shared" si="113"/>
        <v>INCONGRUENTE</v>
      </c>
      <c r="P442" s="7" t="s">
        <v>151</v>
      </c>
      <c r="Q442" s="7" t="s">
        <v>22</v>
      </c>
      <c r="R442" s="7" t="s">
        <v>23</v>
      </c>
      <c r="S442" s="6"/>
      <c r="T442" s="6"/>
      <c r="U442" s="6"/>
      <c r="V442" s="6"/>
      <c r="W442" s="6"/>
      <c r="X442" s="6"/>
      <c r="Y442" s="6"/>
    </row>
    <row r="443" spans="1:25" ht="15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6"/>
      <c r="T443" s="6"/>
      <c r="U443" s="6"/>
      <c r="V443" s="6"/>
      <c r="W443" s="6"/>
      <c r="X443" s="6"/>
      <c r="Y443" s="6"/>
    </row>
    <row r="444" spans="1:25" ht="15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 t="s">
        <v>70</v>
      </c>
      <c r="L444" s="71"/>
      <c r="M444" s="71"/>
      <c r="N444" s="71"/>
      <c r="O444" s="71"/>
      <c r="P444" s="71"/>
      <c r="Q444" s="71"/>
      <c r="R444" s="71"/>
      <c r="S444" s="6"/>
      <c r="T444" s="6"/>
      <c r="U444" s="6"/>
      <c r="V444" s="6"/>
      <c r="W444" s="6"/>
      <c r="X444" s="6"/>
      <c r="Y444" s="6"/>
    </row>
    <row r="445" spans="1:25" ht="15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 t="s">
        <v>70</v>
      </c>
      <c r="L445" s="71"/>
      <c r="M445" s="71" t="s">
        <v>70</v>
      </c>
      <c r="N445" s="71"/>
      <c r="O445" s="71"/>
      <c r="P445" s="71"/>
      <c r="Q445" s="71"/>
      <c r="R445" s="71"/>
      <c r="S445" s="6"/>
      <c r="T445" s="6"/>
      <c r="U445" s="6"/>
      <c r="V445" s="6"/>
      <c r="W445" s="6"/>
      <c r="X445" s="6"/>
      <c r="Y445" s="6"/>
    </row>
    <row r="446" spans="1:25" ht="15.75" customHeight="1">
      <c r="A446" s="71"/>
      <c r="B446" s="71"/>
      <c r="C446" s="71"/>
      <c r="D446" s="71"/>
      <c r="E446" s="71"/>
      <c r="F446" s="71"/>
      <c r="G446" s="71"/>
      <c r="H446" s="71"/>
      <c r="I446" s="71" t="s">
        <v>70</v>
      </c>
      <c r="J446" s="71"/>
      <c r="K446" s="71"/>
      <c r="L446" s="71"/>
      <c r="M446" s="71" t="s">
        <v>70</v>
      </c>
      <c r="N446" s="71"/>
      <c r="O446" s="71"/>
      <c r="P446" s="71"/>
      <c r="Q446" s="71"/>
      <c r="R446" s="71"/>
      <c r="S446" s="6"/>
      <c r="T446" s="6"/>
      <c r="U446" s="6"/>
      <c r="V446" s="6"/>
      <c r="W446" s="6"/>
      <c r="X446" s="6"/>
      <c r="Y446" s="6"/>
    </row>
    <row r="447" spans="1:25" ht="15.75" customHeight="1">
      <c r="A447" s="71"/>
      <c r="B447" s="71"/>
      <c r="C447" s="71"/>
      <c r="D447" s="71"/>
      <c r="E447" s="71"/>
      <c r="F447" s="71"/>
      <c r="G447" s="71"/>
      <c r="H447" s="71"/>
      <c r="I447" s="71" t="s">
        <v>70</v>
      </c>
      <c r="J447" s="71"/>
      <c r="K447" s="71"/>
      <c r="L447" s="71"/>
      <c r="M447" s="71"/>
      <c r="N447" s="71"/>
      <c r="O447" s="71"/>
      <c r="P447" s="71"/>
      <c r="Q447" s="71"/>
      <c r="R447" s="71"/>
      <c r="S447" s="6"/>
      <c r="T447" s="6"/>
      <c r="U447" s="6"/>
      <c r="V447" s="6"/>
      <c r="W447" s="6"/>
      <c r="X447" s="6"/>
      <c r="Y447" s="6"/>
    </row>
    <row r="448" spans="1:25" ht="15.75" customHeight="1">
      <c r="A448" s="71"/>
      <c r="B448" s="71"/>
      <c r="C448" s="71"/>
      <c r="D448" s="71"/>
      <c r="E448" s="71"/>
      <c r="F448" s="71" t="s">
        <v>70</v>
      </c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6"/>
      <c r="T448" s="6"/>
      <c r="U448" s="6"/>
      <c r="V448" s="6"/>
      <c r="W448" s="6"/>
      <c r="X448" s="6"/>
      <c r="Y448" s="6"/>
    </row>
    <row r="449" spans="1:25" ht="15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6"/>
      <c r="T449" s="6"/>
      <c r="U449" s="6"/>
      <c r="V449" s="6"/>
      <c r="W449" s="6"/>
      <c r="X449" s="6"/>
      <c r="Y449" s="6"/>
    </row>
    <row r="450" spans="1:25" ht="15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 t="s">
        <v>70</v>
      </c>
      <c r="P450" s="71"/>
      <c r="Q450" s="71"/>
      <c r="R450" s="71"/>
      <c r="S450" s="6"/>
      <c r="T450" s="6"/>
      <c r="U450" s="6"/>
      <c r="V450" s="6"/>
      <c r="W450" s="6"/>
      <c r="X450" s="6"/>
      <c r="Y450" s="6"/>
    </row>
    <row r="451" spans="1:25" ht="15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 t="s">
        <v>70</v>
      </c>
      <c r="P451" s="71"/>
      <c r="Q451" s="71"/>
      <c r="R451" s="71"/>
      <c r="S451" s="6"/>
      <c r="T451" s="6"/>
      <c r="U451" s="6"/>
      <c r="V451" s="6"/>
      <c r="W451" s="6"/>
      <c r="X451" s="6"/>
      <c r="Y451" s="6"/>
    </row>
    <row r="452" spans="1:25" ht="15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6"/>
      <c r="T452" s="6"/>
      <c r="U452" s="6"/>
      <c r="V452" s="6"/>
      <c r="W452" s="6"/>
      <c r="X452" s="6"/>
      <c r="Y452" s="6"/>
    </row>
    <row r="453" spans="1:25" ht="15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6"/>
      <c r="T453" s="6"/>
      <c r="U453" s="6"/>
      <c r="V453" s="6"/>
      <c r="W453" s="6"/>
      <c r="X453" s="6"/>
      <c r="Y453" s="6"/>
    </row>
    <row r="454" spans="1:25" ht="15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6"/>
      <c r="T454" s="6"/>
      <c r="U454" s="6"/>
      <c r="V454" s="6"/>
      <c r="W454" s="6"/>
      <c r="X454" s="6"/>
      <c r="Y454" s="6"/>
    </row>
    <row r="455" spans="1:25" ht="15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6"/>
      <c r="T455" s="6"/>
      <c r="U455" s="6"/>
      <c r="V455" s="6"/>
      <c r="W455" s="6"/>
      <c r="X455" s="6"/>
      <c r="Y455" s="6"/>
    </row>
    <row r="456" spans="1:25" ht="15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6"/>
      <c r="T456" s="6"/>
      <c r="U456" s="6"/>
      <c r="V456" s="6"/>
      <c r="W456" s="6"/>
      <c r="X456" s="6"/>
      <c r="Y456" s="6"/>
    </row>
    <row r="457" spans="1:25" ht="15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6"/>
      <c r="T457" s="6"/>
      <c r="U457" s="6"/>
      <c r="V457" s="6"/>
      <c r="W457" s="6"/>
      <c r="X457" s="6"/>
      <c r="Y457" s="6"/>
    </row>
    <row r="458" spans="1:25" ht="15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6"/>
      <c r="T458" s="6"/>
      <c r="U458" s="6"/>
      <c r="V458" s="6"/>
      <c r="W458" s="6"/>
      <c r="X458" s="6"/>
      <c r="Y458" s="6"/>
    </row>
    <row r="459" spans="1:25" ht="15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6"/>
      <c r="T459" s="6"/>
      <c r="U459" s="6"/>
      <c r="V459" s="6"/>
      <c r="W459" s="6"/>
      <c r="X459" s="6"/>
      <c r="Y459" s="6"/>
    </row>
    <row r="460" spans="1:25" ht="15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6"/>
      <c r="T460" s="6"/>
      <c r="U460" s="6"/>
      <c r="V460" s="6"/>
      <c r="W460" s="6"/>
      <c r="X460" s="6"/>
      <c r="Y460" s="6"/>
    </row>
    <row r="461" spans="1:25" ht="15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6"/>
      <c r="T461" s="6"/>
      <c r="U461" s="6"/>
      <c r="V461" s="6"/>
      <c r="W461" s="6"/>
      <c r="X461" s="6"/>
      <c r="Y461" s="6"/>
    </row>
    <row r="462" spans="1:25" ht="15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6"/>
      <c r="T462" s="6"/>
      <c r="U462" s="6"/>
      <c r="V462" s="6"/>
      <c r="W462" s="6"/>
      <c r="X462" s="6"/>
      <c r="Y462" s="6"/>
    </row>
    <row r="463" spans="1:25" ht="15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6"/>
      <c r="T463" s="6"/>
      <c r="U463" s="6"/>
      <c r="V463" s="6"/>
      <c r="W463" s="6"/>
      <c r="X463" s="6"/>
      <c r="Y463" s="6"/>
    </row>
    <row r="464" spans="1:25" ht="15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6"/>
      <c r="T464" s="6"/>
      <c r="U464" s="6"/>
      <c r="V464" s="6"/>
      <c r="W464" s="6"/>
      <c r="X464" s="6"/>
      <c r="Y464" s="6"/>
    </row>
    <row r="465" spans="1:25" ht="15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6"/>
      <c r="T465" s="6"/>
      <c r="U465" s="6"/>
      <c r="V465" s="6"/>
      <c r="W465" s="6"/>
      <c r="X465" s="6"/>
      <c r="Y465" s="6"/>
    </row>
    <row r="466" spans="1:25" ht="15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6"/>
      <c r="T466" s="6"/>
      <c r="U466" s="6"/>
      <c r="V466" s="6"/>
      <c r="W466" s="6"/>
      <c r="X466" s="6"/>
      <c r="Y466" s="6"/>
    </row>
    <row r="467" spans="1:25" ht="15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6"/>
      <c r="T467" s="6"/>
      <c r="U467" s="6"/>
      <c r="V467" s="6"/>
      <c r="W467" s="6"/>
      <c r="X467" s="6"/>
      <c r="Y467" s="6"/>
    </row>
    <row r="468" spans="1:25" ht="15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6"/>
      <c r="T468" s="6"/>
      <c r="U468" s="6"/>
      <c r="V468" s="6"/>
      <c r="W468" s="6"/>
      <c r="X468" s="6"/>
      <c r="Y468" s="6"/>
    </row>
    <row r="469" spans="1:25" ht="15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6"/>
      <c r="T469" s="6"/>
      <c r="U469" s="6"/>
      <c r="V469" s="6"/>
      <c r="W469" s="6"/>
      <c r="X469" s="6"/>
      <c r="Y469" s="6"/>
    </row>
    <row r="470" spans="1:25" ht="15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6"/>
      <c r="T470" s="6"/>
      <c r="U470" s="6"/>
      <c r="V470" s="6"/>
      <c r="W470" s="6"/>
      <c r="X470" s="6"/>
      <c r="Y470" s="6"/>
    </row>
    <row r="471" spans="1:25" ht="15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6"/>
      <c r="T471" s="6"/>
      <c r="U471" s="6"/>
      <c r="V471" s="6"/>
      <c r="W471" s="6"/>
      <c r="X471" s="6"/>
      <c r="Y471" s="6"/>
    </row>
    <row r="472" spans="1:25" ht="15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6"/>
      <c r="T472" s="6"/>
      <c r="U472" s="6"/>
      <c r="V472" s="6"/>
      <c r="W472" s="6"/>
      <c r="X472" s="6"/>
      <c r="Y472" s="6"/>
    </row>
    <row r="473" spans="1:25" ht="15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6"/>
      <c r="T473" s="6"/>
      <c r="U473" s="6"/>
      <c r="V473" s="6"/>
      <c r="W473" s="6"/>
      <c r="X473" s="6"/>
      <c r="Y473" s="6"/>
    </row>
    <row r="474" spans="1:25" ht="15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6"/>
      <c r="T474" s="6"/>
      <c r="U474" s="6"/>
      <c r="V474" s="6"/>
      <c r="W474" s="6"/>
      <c r="X474" s="6"/>
      <c r="Y474" s="6"/>
    </row>
    <row r="475" spans="1:25" ht="15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6"/>
      <c r="T475" s="6"/>
      <c r="U475" s="6"/>
      <c r="V475" s="6"/>
      <c r="W475" s="6"/>
      <c r="X475" s="6"/>
      <c r="Y475" s="6"/>
    </row>
    <row r="476" spans="1:25" ht="15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6"/>
      <c r="T476" s="6"/>
      <c r="U476" s="6"/>
      <c r="V476" s="6"/>
      <c r="W476" s="6"/>
      <c r="X476" s="6"/>
      <c r="Y476" s="6"/>
    </row>
    <row r="477" spans="1:25" ht="15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6"/>
      <c r="T477" s="6"/>
      <c r="U477" s="6"/>
      <c r="V477" s="6"/>
      <c r="W477" s="6"/>
      <c r="X477" s="6"/>
      <c r="Y477" s="6"/>
    </row>
    <row r="478" spans="1:25" ht="15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6"/>
      <c r="T478" s="6"/>
      <c r="U478" s="6"/>
      <c r="V478" s="6"/>
      <c r="W478" s="6"/>
      <c r="X478" s="6"/>
      <c r="Y478" s="6"/>
    </row>
    <row r="479" spans="1:25" ht="15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6"/>
      <c r="T479" s="6"/>
      <c r="U479" s="6"/>
      <c r="V479" s="6"/>
      <c r="W479" s="6"/>
      <c r="X479" s="6"/>
      <c r="Y479" s="6"/>
    </row>
    <row r="480" spans="1:25" ht="15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6"/>
      <c r="T480" s="6"/>
      <c r="U480" s="6"/>
      <c r="V480" s="6"/>
      <c r="W480" s="6"/>
      <c r="X480" s="6"/>
      <c r="Y480" s="6"/>
    </row>
    <row r="481" spans="1:25" ht="15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6"/>
      <c r="T481" s="6"/>
      <c r="U481" s="6"/>
      <c r="V481" s="6"/>
      <c r="W481" s="6"/>
      <c r="X481" s="6"/>
      <c r="Y481" s="6"/>
    </row>
    <row r="482" spans="1:25" ht="15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6"/>
      <c r="T482" s="6"/>
      <c r="U482" s="6"/>
      <c r="V482" s="6"/>
      <c r="W482" s="6"/>
      <c r="X482" s="6"/>
      <c r="Y482" s="6"/>
    </row>
    <row r="483" spans="1:25" ht="15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6"/>
      <c r="T483" s="6"/>
      <c r="U483" s="6"/>
      <c r="V483" s="6"/>
      <c r="W483" s="6"/>
      <c r="X483" s="6"/>
      <c r="Y483" s="6"/>
    </row>
    <row r="484" spans="1:25" ht="15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6"/>
      <c r="T484" s="6"/>
      <c r="U484" s="6"/>
      <c r="V484" s="6"/>
      <c r="W484" s="6"/>
      <c r="X484" s="6"/>
      <c r="Y484" s="6"/>
    </row>
    <row r="485" spans="1:25" ht="15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6"/>
      <c r="T485" s="6"/>
      <c r="U485" s="6"/>
      <c r="V485" s="6"/>
      <c r="W485" s="6"/>
      <c r="X485" s="6"/>
      <c r="Y485" s="6"/>
    </row>
    <row r="486" spans="1:25" ht="15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6"/>
      <c r="T486" s="6"/>
      <c r="U486" s="6"/>
      <c r="V486" s="6"/>
      <c r="W486" s="6"/>
      <c r="X486" s="6"/>
      <c r="Y486" s="6"/>
    </row>
    <row r="487" spans="1:25" ht="15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6"/>
      <c r="T487" s="6"/>
      <c r="U487" s="6"/>
      <c r="V487" s="6"/>
      <c r="W487" s="6"/>
      <c r="X487" s="6"/>
      <c r="Y487" s="6"/>
    </row>
    <row r="488" spans="1:25" ht="15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6"/>
      <c r="T488" s="6"/>
      <c r="U488" s="6"/>
      <c r="V488" s="6"/>
      <c r="W488" s="6"/>
      <c r="X488" s="6"/>
      <c r="Y488" s="6"/>
    </row>
    <row r="489" spans="1:25" ht="15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6"/>
      <c r="T489" s="6"/>
      <c r="U489" s="6"/>
      <c r="V489" s="6"/>
      <c r="W489" s="6"/>
      <c r="X489" s="6"/>
      <c r="Y489" s="6"/>
    </row>
    <row r="490" spans="1:25" ht="15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6"/>
      <c r="T490" s="6"/>
      <c r="U490" s="6"/>
      <c r="V490" s="6"/>
      <c r="W490" s="6"/>
      <c r="X490" s="6"/>
      <c r="Y490" s="6"/>
    </row>
    <row r="491" spans="1:25" ht="15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6"/>
      <c r="T491" s="6"/>
      <c r="U491" s="6"/>
      <c r="V491" s="6"/>
      <c r="W491" s="6"/>
      <c r="X491" s="6"/>
      <c r="Y491" s="6"/>
    </row>
    <row r="492" spans="1:25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6"/>
      <c r="T492" s="6"/>
      <c r="U492" s="6"/>
      <c r="V492" s="6"/>
      <c r="W492" s="6"/>
      <c r="X492" s="6"/>
      <c r="Y492" s="6"/>
    </row>
    <row r="493" spans="1:25" ht="15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6"/>
      <c r="T493" s="6"/>
      <c r="U493" s="6"/>
      <c r="V493" s="6"/>
      <c r="W493" s="6"/>
      <c r="X493" s="6"/>
      <c r="Y493" s="6"/>
    </row>
    <row r="494" spans="1:25" ht="15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6"/>
      <c r="T494" s="6"/>
      <c r="U494" s="6"/>
      <c r="V494" s="6"/>
      <c r="W494" s="6"/>
      <c r="X494" s="6"/>
      <c r="Y494" s="6"/>
    </row>
    <row r="495" spans="1:25" ht="15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6"/>
      <c r="T495" s="6"/>
      <c r="U495" s="6"/>
      <c r="V495" s="6"/>
      <c r="W495" s="6"/>
      <c r="X495" s="6"/>
      <c r="Y495" s="6"/>
    </row>
    <row r="496" spans="1:25" ht="15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6"/>
      <c r="T496" s="6"/>
      <c r="U496" s="6"/>
      <c r="V496" s="6"/>
      <c r="W496" s="6"/>
      <c r="X496" s="6"/>
      <c r="Y496" s="6"/>
    </row>
    <row r="497" spans="1:25" ht="15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6"/>
      <c r="T497" s="6"/>
      <c r="U497" s="6"/>
      <c r="V497" s="6"/>
      <c r="W497" s="6"/>
      <c r="X497" s="6"/>
      <c r="Y497" s="6"/>
    </row>
    <row r="498" spans="1:25" ht="15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6"/>
      <c r="T498" s="6"/>
      <c r="U498" s="6"/>
      <c r="V498" s="6"/>
      <c r="W498" s="6"/>
      <c r="X498" s="6"/>
      <c r="Y498" s="6"/>
    </row>
    <row r="499" spans="1:25" ht="15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6"/>
      <c r="T499" s="6"/>
      <c r="U499" s="6"/>
      <c r="V499" s="6"/>
      <c r="W499" s="6"/>
      <c r="X499" s="6"/>
      <c r="Y499" s="6"/>
    </row>
    <row r="500" spans="1:25" ht="15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6"/>
      <c r="T500" s="6"/>
      <c r="U500" s="6"/>
      <c r="V500" s="6"/>
      <c r="W500" s="6"/>
      <c r="X500" s="6"/>
      <c r="Y500" s="6"/>
    </row>
    <row r="501" spans="1:25" ht="15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6"/>
      <c r="T501" s="6"/>
      <c r="U501" s="6"/>
      <c r="V501" s="6"/>
      <c r="W501" s="6"/>
      <c r="X501" s="6"/>
      <c r="Y501" s="6"/>
    </row>
    <row r="502" spans="1:25" ht="15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6"/>
      <c r="T502" s="6"/>
      <c r="U502" s="6"/>
      <c r="V502" s="6"/>
      <c r="W502" s="6"/>
      <c r="X502" s="6"/>
      <c r="Y502" s="6"/>
    </row>
    <row r="503" spans="1:25" ht="15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6"/>
      <c r="T503" s="6"/>
      <c r="U503" s="6"/>
      <c r="V503" s="6"/>
      <c r="W503" s="6"/>
      <c r="X503" s="6"/>
      <c r="Y503" s="6"/>
    </row>
    <row r="504" spans="1:25" ht="15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6"/>
      <c r="T504" s="6"/>
      <c r="U504" s="6"/>
      <c r="V504" s="6"/>
      <c r="W504" s="6"/>
      <c r="X504" s="6"/>
      <c r="Y504" s="6"/>
    </row>
    <row r="505" spans="1:25" ht="15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6"/>
      <c r="T505" s="6"/>
      <c r="U505" s="6"/>
      <c r="V505" s="6"/>
      <c r="W505" s="6"/>
      <c r="X505" s="6"/>
      <c r="Y505" s="6"/>
    </row>
    <row r="506" spans="1:25" ht="15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6"/>
      <c r="T506" s="6"/>
      <c r="U506" s="6"/>
      <c r="V506" s="6"/>
      <c r="W506" s="6"/>
      <c r="X506" s="6"/>
      <c r="Y506" s="6"/>
    </row>
    <row r="507" spans="1:25" ht="15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6"/>
      <c r="T507" s="6"/>
      <c r="U507" s="6"/>
      <c r="V507" s="6"/>
      <c r="W507" s="6"/>
      <c r="X507" s="6"/>
      <c r="Y507" s="6"/>
    </row>
    <row r="508" spans="1:25" ht="15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6"/>
      <c r="T508" s="6"/>
      <c r="U508" s="6"/>
      <c r="V508" s="6"/>
      <c r="W508" s="6"/>
      <c r="X508" s="6"/>
      <c r="Y508" s="6"/>
    </row>
    <row r="509" spans="1:25" ht="15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6"/>
      <c r="T509" s="6"/>
      <c r="U509" s="6"/>
      <c r="V509" s="6"/>
      <c r="W509" s="6"/>
      <c r="X509" s="6"/>
      <c r="Y509" s="6"/>
    </row>
    <row r="510" spans="1:25" ht="15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6"/>
      <c r="T510" s="6"/>
      <c r="U510" s="6"/>
      <c r="V510" s="6"/>
      <c r="W510" s="6"/>
      <c r="X510" s="6"/>
      <c r="Y510" s="6"/>
    </row>
    <row r="511" spans="1:25" ht="15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6"/>
      <c r="T511" s="6"/>
      <c r="U511" s="6"/>
      <c r="V511" s="6"/>
      <c r="W511" s="6"/>
      <c r="X511" s="6"/>
      <c r="Y511" s="6"/>
    </row>
    <row r="512" spans="1:25" ht="15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6"/>
      <c r="T512" s="6"/>
      <c r="U512" s="6"/>
      <c r="V512" s="6"/>
      <c r="W512" s="6"/>
      <c r="X512" s="6"/>
      <c r="Y512" s="6"/>
    </row>
    <row r="513" spans="1:25" ht="15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6"/>
      <c r="T513" s="6"/>
      <c r="U513" s="6"/>
      <c r="V513" s="6"/>
      <c r="W513" s="6"/>
      <c r="X513" s="6"/>
      <c r="Y513" s="6"/>
    </row>
    <row r="514" spans="1:25" ht="15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6"/>
      <c r="T514" s="6"/>
      <c r="U514" s="6"/>
      <c r="V514" s="6"/>
      <c r="W514" s="6"/>
      <c r="X514" s="6"/>
      <c r="Y514" s="6"/>
    </row>
    <row r="515" spans="1:25" ht="15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6"/>
      <c r="T515" s="6"/>
      <c r="U515" s="6"/>
      <c r="V515" s="6"/>
      <c r="W515" s="6"/>
      <c r="X515" s="6"/>
      <c r="Y515" s="6"/>
    </row>
    <row r="516" spans="1:25" ht="15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6"/>
      <c r="T516" s="6"/>
      <c r="U516" s="6"/>
      <c r="V516" s="6"/>
      <c r="W516" s="6"/>
      <c r="X516" s="6"/>
      <c r="Y516" s="6"/>
    </row>
    <row r="517" spans="1:25" ht="15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6"/>
      <c r="T517" s="6"/>
      <c r="U517" s="6"/>
      <c r="V517" s="6"/>
      <c r="W517" s="6"/>
      <c r="X517" s="6"/>
      <c r="Y517" s="6"/>
    </row>
    <row r="518" spans="1:25" ht="15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6"/>
      <c r="T518" s="6"/>
      <c r="U518" s="6"/>
      <c r="V518" s="6"/>
      <c r="W518" s="6"/>
      <c r="X518" s="6"/>
      <c r="Y518" s="6"/>
    </row>
    <row r="519" spans="1:25" ht="15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6"/>
      <c r="T519" s="6"/>
      <c r="U519" s="6"/>
      <c r="V519" s="6"/>
      <c r="W519" s="6"/>
      <c r="X519" s="6"/>
      <c r="Y519" s="6"/>
    </row>
    <row r="520" spans="1:25" ht="15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6"/>
      <c r="T520" s="6"/>
      <c r="U520" s="6"/>
      <c r="V520" s="6"/>
      <c r="W520" s="6"/>
      <c r="X520" s="6"/>
      <c r="Y520" s="6"/>
    </row>
    <row r="521" spans="1:25" ht="15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6"/>
      <c r="T521" s="6"/>
      <c r="U521" s="6"/>
      <c r="V521" s="6"/>
      <c r="W521" s="6"/>
      <c r="X521" s="6"/>
      <c r="Y521" s="6"/>
    </row>
    <row r="522" spans="1:25" ht="15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6"/>
      <c r="T522" s="6"/>
      <c r="U522" s="6"/>
      <c r="V522" s="6"/>
      <c r="W522" s="6"/>
      <c r="X522" s="6"/>
      <c r="Y522" s="6"/>
    </row>
    <row r="523" spans="1:25" ht="15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6"/>
      <c r="T523" s="6"/>
      <c r="U523" s="6"/>
      <c r="V523" s="6"/>
      <c r="W523" s="6"/>
      <c r="X523" s="6"/>
      <c r="Y523" s="6"/>
    </row>
    <row r="524" spans="1:25" ht="15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6"/>
      <c r="T524" s="6"/>
      <c r="U524" s="6"/>
      <c r="V524" s="6"/>
      <c r="W524" s="6"/>
      <c r="X524" s="6"/>
      <c r="Y524" s="6"/>
    </row>
    <row r="525" spans="1:25" ht="15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6"/>
      <c r="T525" s="6"/>
      <c r="U525" s="6"/>
      <c r="V525" s="6"/>
      <c r="W525" s="6"/>
      <c r="X525" s="6"/>
      <c r="Y525" s="6"/>
    </row>
    <row r="526" spans="1:25" ht="15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6"/>
      <c r="T526" s="6"/>
      <c r="U526" s="6"/>
      <c r="V526" s="6"/>
      <c r="W526" s="6"/>
      <c r="X526" s="6"/>
      <c r="Y526" s="6"/>
    </row>
    <row r="527" spans="1:25" ht="15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6"/>
      <c r="T527" s="6"/>
      <c r="U527" s="6"/>
      <c r="V527" s="6"/>
      <c r="W527" s="6"/>
      <c r="X527" s="6"/>
      <c r="Y527" s="6"/>
    </row>
    <row r="528" spans="1:25" ht="15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6"/>
      <c r="T528" s="6"/>
      <c r="U528" s="6"/>
      <c r="V528" s="6"/>
      <c r="W528" s="6"/>
      <c r="X528" s="6"/>
      <c r="Y528" s="6"/>
    </row>
    <row r="529" spans="1:25" ht="15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6"/>
      <c r="T529" s="6"/>
      <c r="U529" s="6"/>
      <c r="V529" s="6"/>
      <c r="W529" s="6"/>
      <c r="X529" s="6"/>
      <c r="Y529" s="6"/>
    </row>
    <row r="530" spans="1:25" ht="15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6"/>
      <c r="T530" s="6"/>
      <c r="U530" s="6"/>
      <c r="V530" s="6"/>
      <c r="W530" s="6"/>
      <c r="X530" s="6"/>
      <c r="Y530" s="6"/>
    </row>
    <row r="531" spans="1:25" ht="15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6"/>
      <c r="T531" s="6"/>
      <c r="U531" s="6"/>
      <c r="V531" s="6"/>
      <c r="W531" s="6"/>
      <c r="X531" s="6"/>
      <c r="Y531" s="6"/>
    </row>
    <row r="532" spans="1:25" ht="15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6"/>
      <c r="T532" s="6"/>
      <c r="U532" s="6"/>
      <c r="V532" s="6"/>
      <c r="W532" s="6"/>
      <c r="X532" s="6"/>
      <c r="Y532" s="6"/>
    </row>
    <row r="533" spans="1:25" ht="15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6"/>
      <c r="T533" s="6"/>
      <c r="U533" s="6"/>
      <c r="V533" s="6"/>
      <c r="W533" s="6"/>
      <c r="X533" s="6"/>
      <c r="Y533" s="6"/>
    </row>
    <row r="534" spans="1:25" ht="15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6"/>
      <c r="T534" s="6"/>
      <c r="U534" s="6"/>
      <c r="V534" s="6"/>
      <c r="W534" s="6"/>
      <c r="X534" s="6"/>
      <c r="Y534" s="6"/>
    </row>
    <row r="535" spans="1:25" ht="15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6"/>
      <c r="T535" s="6"/>
      <c r="U535" s="6"/>
      <c r="V535" s="6"/>
      <c r="W535" s="6"/>
      <c r="X535" s="6"/>
      <c r="Y535" s="6"/>
    </row>
    <row r="536" spans="1:25" ht="15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6"/>
      <c r="T536" s="6"/>
      <c r="U536" s="6"/>
      <c r="V536" s="6"/>
      <c r="W536" s="6"/>
      <c r="X536" s="6"/>
      <c r="Y536" s="6"/>
    </row>
    <row r="537" spans="1:25" ht="15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6"/>
      <c r="T537" s="6"/>
      <c r="U537" s="6"/>
      <c r="V537" s="6"/>
      <c r="W537" s="6"/>
      <c r="X537" s="6"/>
      <c r="Y537" s="6"/>
    </row>
    <row r="538" spans="1:25" ht="15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6"/>
      <c r="T538" s="6"/>
      <c r="U538" s="6"/>
      <c r="V538" s="6"/>
      <c r="W538" s="6"/>
      <c r="X538" s="6"/>
      <c r="Y538" s="6"/>
    </row>
    <row r="539" spans="1:25" ht="15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6"/>
      <c r="T539" s="6"/>
      <c r="U539" s="6"/>
      <c r="V539" s="6"/>
      <c r="W539" s="6"/>
      <c r="X539" s="6"/>
      <c r="Y539" s="6"/>
    </row>
    <row r="540" spans="1:25" ht="15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6"/>
      <c r="T540" s="6"/>
      <c r="U540" s="6"/>
      <c r="V540" s="6"/>
      <c r="W540" s="6"/>
      <c r="X540" s="6"/>
      <c r="Y540" s="6"/>
    </row>
    <row r="541" spans="1:25" ht="15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6"/>
      <c r="T541" s="6"/>
      <c r="U541" s="6"/>
      <c r="V541" s="6"/>
      <c r="W541" s="6"/>
      <c r="X541" s="6"/>
      <c r="Y541" s="6"/>
    </row>
    <row r="542" spans="1:25" ht="15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6"/>
      <c r="T542" s="6"/>
      <c r="U542" s="6"/>
      <c r="V542" s="6"/>
      <c r="W542" s="6"/>
      <c r="X542" s="6"/>
      <c r="Y542" s="6"/>
    </row>
    <row r="543" spans="1:25" ht="15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6"/>
      <c r="T543" s="6"/>
      <c r="U543" s="6"/>
      <c r="V543" s="6"/>
      <c r="W543" s="6"/>
      <c r="X543" s="6"/>
      <c r="Y543" s="6"/>
    </row>
    <row r="544" spans="1:25" ht="15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6"/>
      <c r="T544" s="6"/>
      <c r="U544" s="6"/>
      <c r="V544" s="6"/>
      <c r="W544" s="6"/>
      <c r="X544" s="6"/>
      <c r="Y544" s="6"/>
    </row>
    <row r="545" spans="1:25" ht="15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6"/>
      <c r="T545" s="6"/>
      <c r="U545" s="6"/>
      <c r="V545" s="6"/>
      <c r="W545" s="6"/>
      <c r="X545" s="6"/>
      <c r="Y545" s="6"/>
    </row>
    <row r="546" spans="1:25" ht="15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6"/>
      <c r="T546" s="6"/>
      <c r="U546" s="6"/>
      <c r="V546" s="6"/>
      <c r="W546" s="6"/>
      <c r="X546" s="6"/>
      <c r="Y546" s="6"/>
    </row>
    <row r="547" spans="1:25" ht="15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6"/>
      <c r="T547" s="6"/>
      <c r="U547" s="6"/>
      <c r="V547" s="6"/>
      <c r="W547" s="6"/>
      <c r="X547" s="6"/>
      <c r="Y547" s="6"/>
    </row>
    <row r="548" spans="1:25" ht="15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6"/>
      <c r="T548" s="6"/>
      <c r="U548" s="6"/>
      <c r="V548" s="6"/>
      <c r="W548" s="6"/>
      <c r="X548" s="6"/>
      <c r="Y548" s="6"/>
    </row>
    <row r="549" spans="1:25" ht="15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6"/>
      <c r="T549" s="6"/>
      <c r="U549" s="6"/>
      <c r="V549" s="6"/>
      <c r="W549" s="6"/>
      <c r="X549" s="6"/>
      <c r="Y549" s="6"/>
    </row>
    <row r="550" spans="1:25" ht="15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6"/>
      <c r="T550" s="6"/>
      <c r="U550" s="6"/>
      <c r="V550" s="6"/>
      <c r="W550" s="6"/>
      <c r="X550" s="6"/>
      <c r="Y550" s="6"/>
    </row>
    <row r="551" spans="1:25" ht="15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6"/>
      <c r="T551" s="6"/>
      <c r="U551" s="6"/>
      <c r="V551" s="6"/>
      <c r="W551" s="6"/>
      <c r="X551" s="6"/>
      <c r="Y551" s="6"/>
    </row>
    <row r="552" spans="1:25" ht="15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6"/>
      <c r="T552" s="6"/>
      <c r="U552" s="6"/>
      <c r="V552" s="6"/>
      <c r="W552" s="6"/>
      <c r="X552" s="6"/>
      <c r="Y552" s="6"/>
    </row>
    <row r="553" spans="1:25" ht="15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6"/>
      <c r="T553" s="6"/>
      <c r="U553" s="6"/>
      <c r="V553" s="6"/>
      <c r="W553" s="6"/>
      <c r="X553" s="6"/>
      <c r="Y553" s="6"/>
    </row>
    <row r="554" spans="1:25" ht="15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6"/>
      <c r="T554" s="6"/>
      <c r="U554" s="6"/>
      <c r="V554" s="6"/>
      <c r="W554" s="6"/>
      <c r="X554" s="6"/>
      <c r="Y554" s="6"/>
    </row>
    <row r="555" spans="1:25" ht="15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6"/>
      <c r="T555" s="6"/>
      <c r="U555" s="6"/>
      <c r="V555" s="6"/>
      <c r="W555" s="6"/>
      <c r="X555" s="6"/>
      <c r="Y555" s="6"/>
    </row>
    <row r="556" spans="1:25" ht="15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6"/>
      <c r="T556" s="6"/>
      <c r="U556" s="6"/>
      <c r="V556" s="6"/>
      <c r="W556" s="6"/>
      <c r="X556" s="6"/>
      <c r="Y556" s="6"/>
    </row>
    <row r="557" spans="1:25" ht="15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6"/>
      <c r="T557" s="6"/>
      <c r="U557" s="6"/>
      <c r="V557" s="6"/>
      <c r="W557" s="6"/>
      <c r="X557" s="6"/>
      <c r="Y557" s="6"/>
    </row>
    <row r="558" spans="1:25" ht="15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6"/>
      <c r="T558" s="6"/>
      <c r="U558" s="6"/>
      <c r="V558" s="6"/>
      <c r="W558" s="6"/>
      <c r="X558" s="6"/>
      <c r="Y558" s="6"/>
    </row>
    <row r="559" spans="1:25" ht="15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6"/>
      <c r="T559" s="6"/>
      <c r="U559" s="6"/>
      <c r="V559" s="6"/>
      <c r="W559" s="6"/>
      <c r="X559" s="6"/>
      <c r="Y559" s="6"/>
    </row>
    <row r="560" spans="1:25" ht="15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6"/>
      <c r="T560" s="6"/>
      <c r="U560" s="6"/>
      <c r="V560" s="6"/>
      <c r="W560" s="6"/>
      <c r="X560" s="6"/>
      <c r="Y560" s="6"/>
    </row>
    <row r="561" spans="1:25" ht="15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6"/>
      <c r="T561" s="6"/>
      <c r="U561" s="6"/>
      <c r="V561" s="6"/>
      <c r="W561" s="6"/>
      <c r="X561" s="6"/>
      <c r="Y561" s="6"/>
    </row>
    <row r="562" spans="1:25" ht="15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6"/>
      <c r="T562" s="6"/>
      <c r="U562" s="6"/>
      <c r="V562" s="6"/>
      <c r="W562" s="6"/>
      <c r="X562" s="6"/>
      <c r="Y562" s="6"/>
    </row>
    <row r="563" spans="1:25" ht="15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6"/>
      <c r="T563" s="6"/>
      <c r="U563" s="6"/>
      <c r="V563" s="6"/>
      <c r="W563" s="6"/>
      <c r="X563" s="6"/>
      <c r="Y563" s="6"/>
    </row>
    <row r="564" spans="1:25" ht="15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6"/>
      <c r="T564" s="6"/>
      <c r="U564" s="6"/>
      <c r="V564" s="6"/>
      <c r="W564" s="6"/>
      <c r="X564" s="6"/>
      <c r="Y564" s="6"/>
    </row>
    <row r="565" spans="1:25" ht="15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6"/>
      <c r="T565" s="6"/>
      <c r="U565" s="6"/>
      <c r="V565" s="6"/>
      <c r="W565" s="6"/>
      <c r="X565" s="6"/>
      <c r="Y565" s="6"/>
    </row>
    <row r="566" spans="1:25" ht="15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6"/>
      <c r="T566" s="6"/>
      <c r="U566" s="6"/>
      <c r="V566" s="6"/>
      <c r="W566" s="6"/>
      <c r="X566" s="6"/>
      <c r="Y566" s="6"/>
    </row>
    <row r="567" spans="1:25" ht="15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6"/>
      <c r="T567" s="6"/>
      <c r="U567" s="6"/>
      <c r="V567" s="6"/>
      <c r="W567" s="6"/>
      <c r="X567" s="6"/>
      <c r="Y567" s="6"/>
    </row>
    <row r="568" spans="1:25" ht="15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6"/>
      <c r="T568" s="6"/>
      <c r="U568" s="6"/>
      <c r="V568" s="6"/>
      <c r="W568" s="6"/>
      <c r="X568" s="6"/>
      <c r="Y568" s="6"/>
    </row>
    <row r="569" spans="1:25" ht="15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6"/>
      <c r="T569" s="6"/>
      <c r="U569" s="6"/>
      <c r="V569" s="6"/>
      <c r="W569" s="6"/>
      <c r="X569" s="6"/>
      <c r="Y569" s="6"/>
    </row>
    <row r="570" spans="1:25" ht="15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6"/>
      <c r="T570" s="6"/>
      <c r="U570" s="6"/>
      <c r="V570" s="6"/>
      <c r="W570" s="6"/>
      <c r="X570" s="6"/>
      <c r="Y570" s="6"/>
    </row>
    <row r="571" spans="1:25" ht="15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6"/>
      <c r="T571" s="6"/>
      <c r="U571" s="6"/>
      <c r="V571" s="6"/>
      <c r="W571" s="6"/>
      <c r="X571" s="6"/>
      <c r="Y571" s="6"/>
    </row>
    <row r="572" spans="1:25" ht="15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6"/>
      <c r="T572" s="6"/>
      <c r="U572" s="6"/>
      <c r="V572" s="6"/>
      <c r="W572" s="6"/>
      <c r="X572" s="6"/>
      <c r="Y572" s="6"/>
    </row>
    <row r="573" spans="1:25" ht="15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6"/>
      <c r="T573" s="6"/>
      <c r="U573" s="6"/>
      <c r="V573" s="6"/>
      <c r="W573" s="6"/>
      <c r="X573" s="6"/>
      <c r="Y573" s="6"/>
    </row>
    <row r="574" spans="1:25" ht="15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6"/>
      <c r="T574" s="6"/>
      <c r="U574" s="6"/>
      <c r="V574" s="6"/>
      <c r="W574" s="6"/>
      <c r="X574" s="6"/>
      <c r="Y574" s="6"/>
    </row>
    <row r="575" spans="1:25" ht="15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6"/>
      <c r="T575" s="6"/>
      <c r="U575" s="6"/>
      <c r="V575" s="6"/>
      <c r="W575" s="6"/>
      <c r="X575" s="6"/>
      <c r="Y575" s="6"/>
    </row>
    <row r="576" spans="1:25" ht="15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6"/>
      <c r="T576" s="6"/>
      <c r="U576" s="6"/>
      <c r="V576" s="6"/>
      <c r="W576" s="6"/>
      <c r="X576" s="6"/>
      <c r="Y576" s="6"/>
    </row>
    <row r="577" spans="1:25" ht="15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6"/>
      <c r="T577" s="6"/>
      <c r="U577" s="6"/>
      <c r="V577" s="6"/>
      <c r="W577" s="6"/>
      <c r="X577" s="6"/>
      <c r="Y577" s="6"/>
    </row>
    <row r="578" spans="1:25" ht="15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6"/>
      <c r="T578" s="6"/>
      <c r="U578" s="6"/>
      <c r="V578" s="6"/>
      <c r="W578" s="6"/>
      <c r="X578" s="6"/>
      <c r="Y578" s="6"/>
    </row>
    <row r="579" spans="1:25" ht="15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6"/>
      <c r="T579" s="6"/>
      <c r="U579" s="6"/>
      <c r="V579" s="6"/>
      <c r="W579" s="6"/>
      <c r="X579" s="6"/>
      <c r="Y579" s="6"/>
    </row>
    <row r="580" spans="1:25" ht="15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6"/>
      <c r="T580" s="6"/>
      <c r="U580" s="6"/>
      <c r="V580" s="6"/>
      <c r="W580" s="6"/>
      <c r="X580" s="6"/>
      <c r="Y580" s="6"/>
    </row>
    <row r="581" spans="1:25" ht="15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6"/>
      <c r="T581" s="6"/>
      <c r="U581" s="6"/>
      <c r="V581" s="6"/>
      <c r="W581" s="6"/>
      <c r="X581" s="6"/>
      <c r="Y581" s="6"/>
    </row>
    <row r="582" spans="1:25" ht="15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6"/>
      <c r="T582" s="6"/>
      <c r="U582" s="6"/>
      <c r="V582" s="6"/>
      <c r="W582" s="6"/>
      <c r="X582" s="6"/>
      <c r="Y582" s="6"/>
    </row>
    <row r="583" spans="1:25" ht="15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6"/>
      <c r="T583" s="6"/>
      <c r="U583" s="6"/>
      <c r="V583" s="6"/>
      <c r="W583" s="6"/>
      <c r="X583" s="6"/>
      <c r="Y583" s="6"/>
    </row>
    <row r="584" spans="1:25" ht="15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6"/>
      <c r="T584" s="6"/>
      <c r="U584" s="6"/>
      <c r="V584" s="6"/>
      <c r="W584" s="6"/>
      <c r="X584" s="6"/>
      <c r="Y584" s="6"/>
    </row>
    <row r="585" spans="1:25" ht="15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6"/>
      <c r="T585" s="6"/>
      <c r="U585" s="6"/>
      <c r="V585" s="6"/>
      <c r="W585" s="6"/>
      <c r="X585" s="6"/>
      <c r="Y585" s="6"/>
    </row>
    <row r="586" spans="1:25" ht="15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6"/>
      <c r="T586" s="6"/>
      <c r="U586" s="6"/>
      <c r="V586" s="6"/>
      <c r="W586" s="6"/>
      <c r="X586" s="6"/>
      <c r="Y586" s="6"/>
    </row>
    <row r="587" spans="1:25" ht="15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6"/>
      <c r="T587" s="6"/>
      <c r="U587" s="6"/>
      <c r="V587" s="6"/>
      <c r="W587" s="6"/>
      <c r="X587" s="6"/>
      <c r="Y587" s="6"/>
    </row>
    <row r="588" spans="1:25" ht="15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6"/>
      <c r="T588" s="6"/>
      <c r="U588" s="6"/>
      <c r="V588" s="6"/>
      <c r="W588" s="6"/>
      <c r="X588" s="6"/>
      <c r="Y588" s="6"/>
    </row>
    <row r="589" spans="1:25" ht="15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6"/>
      <c r="T589" s="6"/>
      <c r="U589" s="6"/>
      <c r="V589" s="6"/>
      <c r="W589" s="6"/>
      <c r="X589" s="6"/>
      <c r="Y589" s="6"/>
    </row>
    <row r="590" spans="1:25" ht="15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6"/>
      <c r="T590" s="6"/>
      <c r="U590" s="6"/>
      <c r="V590" s="6"/>
      <c r="W590" s="6"/>
      <c r="X590" s="6"/>
      <c r="Y590" s="6"/>
    </row>
    <row r="591" spans="1:25" ht="15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6"/>
      <c r="T591" s="6"/>
      <c r="U591" s="6"/>
      <c r="V591" s="6"/>
      <c r="W591" s="6"/>
      <c r="X591" s="6"/>
      <c r="Y591" s="6"/>
    </row>
    <row r="592" spans="1:25" ht="15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6"/>
      <c r="T592" s="6"/>
      <c r="U592" s="6"/>
      <c r="V592" s="6"/>
      <c r="W592" s="6"/>
      <c r="X592" s="6"/>
      <c r="Y592" s="6"/>
    </row>
    <row r="593" spans="1:25" ht="15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6"/>
      <c r="T593" s="6"/>
      <c r="U593" s="6"/>
      <c r="V593" s="6"/>
      <c r="W593" s="6"/>
      <c r="X593" s="6"/>
      <c r="Y593" s="6"/>
    </row>
    <row r="594" spans="1:25" ht="15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6"/>
      <c r="T594" s="6"/>
      <c r="U594" s="6"/>
      <c r="V594" s="6"/>
      <c r="W594" s="6"/>
      <c r="X594" s="6"/>
      <c r="Y594" s="6"/>
    </row>
    <row r="595" spans="1:25" ht="15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6"/>
      <c r="T595" s="6"/>
      <c r="U595" s="6"/>
      <c r="V595" s="6"/>
      <c r="W595" s="6"/>
      <c r="X595" s="6"/>
      <c r="Y595" s="6"/>
    </row>
    <row r="596" spans="1:25" ht="15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6"/>
      <c r="T596" s="6"/>
      <c r="U596" s="6"/>
      <c r="V596" s="6"/>
      <c r="W596" s="6"/>
      <c r="X596" s="6"/>
      <c r="Y596" s="6"/>
    </row>
    <row r="597" spans="1:25" ht="15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6"/>
      <c r="T597" s="6"/>
      <c r="U597" s="6"/>
      <c r="V597" s="6"/>
      <c r="W597" s="6"/>
      <c r="X597" s="6"/>
      <c r="Y597" s="6"/>
    </row>
    <row r="598" spans="1:25" ht="15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6"/>
      <c r="T598" s="6"/>
      <c r="U598" s="6"/>
      <c r="V598" s="6"/>
      <c r="W598" s="6"/>
      <c r="X598" s="6"/>
      <c r="Y598" s="6"/>
    </row>
    <row r="599" spans="1:25" ht="15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6"/>
      <c r="T599" s="6"/>
      <c r="U599" s="6"/>
      <c r="V599" s="6"/>
      <c r="W599" s="6"/>
      <c r="X599" s="6"/>
      <c r="Y599" s="6"/>
    </row>
    <row r="600" spans="1:25" ht="15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6"/>
      <c r="T600" s="6"/>
      <c r="U600" s="6"/>
      <c r="V600" s="6"/>
      <c r="W600" s="6"/>
      <c r="X600" s="6"/>
      <c r="Y600" s="6"/>
    </row>
    <row r="601" spans="1:25" ht="15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6"/>
      <c r="T601" s="6"/>
      <c r="U601" s="6"/>
      <c r="V601" s="6"/>
      <c r="W601" s="6"/>
      <c r="X601" s="6"/>
      <c r="Y601" s="6"/>
    </row>
    <row r="602" spans="1:25" ht="15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6"/>
      <c r="T602" s="6"/>
      <c r="U602" s="6"/>
      <c r="V602" s="6"/>
      <c r="W602" s="6"/>
      <c r="X602" s="6"/>
      <c r="Y602" s="6"/>
    </row>
    <row r="603" spans="1:25" ht="15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6"/>
      <c r="T603" s="6"/>
      <c r="U603" s="6"/>
      <c r="V603" s="6"/>
      <c r="W603" s="6"/>
      <c r="X603" s="6"/>
      <c r="Y603" s="6"/>
    </row>
    <row r="604" spans="1:25" ht="15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6"/>
      <c r="T604" s="6"/>
      <c r="U604" s="6"/>
      <c r="V604" s="6"/>
      <c r="W604" s="6"/>
      <c r="X604" s="6"/>
      <c r="Y604" s="6"/>
    </row>
    <row r="605" spans="1:25" ht="15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6"/>
      <c r="T605" s="6"/>
      <c r="U605" s="6"/>
      <c r="V605" s="6"/>
      <c r="W605" s="6"/>
      <c r="X605" s="6"/>
      <c r="Y605" s="6"/>
    </row>
    <row r="606" spans="1:25" ht="15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6"/>
      <c r="T606" s="6"/>
      <c r="U606" s="6"/>
      <c r="V606" s="6"/>
      <c r="W606" s="6"/>
      <c r="X606" s="6"/>
      <c r="Y606" s="6"/>
    </row>
    <row r="607" spans="1:25" ht="15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6"/>
      <c r="T607" s="6"/>
      <c r="U607" s="6"/>
      <c r="V607" s="6"/>
      <c r="W607" s="6"/>
      <c r="X607" s="6"/>
      <c r="Y607" s="6"/>
    </row>
    <row r="608" spans="1:25" ht="15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6"/>
      <c r="T608" s="6"/>
      <c r="U608" s="6"/>
      <c r="V608" s="6"/>
      <c r="W608" s="6"/>
      <c r="X608" s="6"/>
      <c r="Y608" s="6"/>
    </row>
    <row r="609" spans="1:25" ht="15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6"/>
      <c r="T609" s="6"/>
      <c r="U609" s="6"/>
      <c r="V609" s="6"/>
      <c r="W609" s="6"/>
      <c r="X609" s="6"/>
      <c r="Y609" s="6"/>
    </row>
    <row r="610" spans="1:25" ht="15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6"/>
      <c r="T610" s="6"/>
      <c r="U610" s="6"/>
      <c r="V610" s="6"/>
      <c r="W610" s="6"/>
      <c r="X610" s="6"/>
      <c r="Y610" s="6"/>
    </row>
    <row r="611" spans="1:25" ht="15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6"/>
      <c r="T611" s="6"/>
      <c r="U611" s="6"/>
      <c r="V611" s="6"/>
      <c r="W611" s="6"/>
      <c r="X611" s="6"/>
      <c r="Y611" s="6"/>
    </row>
    <row r="612" spans="1:25" ht="15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6"/>
      <c r="T612" s="6"/>
      <c r="U612" s="6"/>
      <c r="V612" s="6"/>
      <c r="W612" s="6"/>
      <c r="X612" s="6"/>
      <c r="Y612" s="6"/>
    </row>
    <row r="613" spans="1:25" ht="15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6"/>
      <c r="T613" s="6"/>
      <c r="U613" s="6"/>
      <c r="V613" s="6"/>
      <c r="W613" s="6"/>
      <c r="X613" s="6"/>
      <c r="Y613" s="6"/>
    </row>
    <row r="614" spans="1:25" ht="15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6"/>
      <c r="T614" s="6"/>
      <c r="U614" s="6"/>
      <c r="V614" s="6"/>
      <c r="W614" s="6"/>
      <c r="X614" s="6"/>
      <c r="Y614" s="6"/>
    </row>
    <row r="615" spans="1:25" ht="15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6"/>
      <c r="T615" s="6"/>
      <c r="U615" s="6"/>
      <c r="V615" s="6"/>
      <c r="W615" s="6"/>
      <c r="X615" s="6"/>
      <c r="Y615" s="6"/>
    </row>
    <row r="616" spans="1:25" ht="15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6"/>
      <c r="T616" s="6"/>
      <c r="U616" s="6"/>
      <c r="V616" s="6"/>
      <c r="W616" s="6"/>
      <c r="X616" s="6"/>
      <c r="Y616" s="6"/>
    </row>
    <row r="617" spans="1:25" ht="15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6"/>
      <c r="T617" s="6"/>
      <c r="U617" s="6"/>
      <c r="V617" s="6"/>
      <c r="W617" s="6"/>
      <c r="X617" s="6"/>
      <c r="Y617" s="6"/>
    </row>
    <row r="618" spans="1:25" ht="15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6"/>
      <c r="T618" s="6"/>
      <c r="U618" s="6"/>
      <c r="V618" s="6"/>
      <c r="W618" s="6"/>
      <c r="X618" s="6"/>
      <c r="Y618" s="6"/>
    </row>
    <row r="619" spans="1:25" ht="15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6"/>
      <c r="T619" s="6"/>
      <c r="U619" s="6"/>
      <c r="V619" s="6"/>
      <c r="W619" s="6"/>
      <c r="X619" s="6"/>
      <c r="Y619" s="6"/>
    </row>
    <row r="620" spans="1:25" ht="15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6"/>
      <c r="T620" s="6"/>
      <c r="U620" s="6"/>
      <c r="V620" s="6"/>
      <c r="W620" s="6"/>
      <c r="X620" s="6"/>
      <c r="Y620" s="6"/>
    </row>
    <row r="621" spans="1:25" ht="15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6"/>
      <c r="T621" s="6"/>
      <c r="U621" s="6"/>
      <c r="V621" s="6"/>
      <c r="W621" s="6"/>
      <c r="X621" s="6"/>
      <c r="Y621" s="6"/>
    </row>
    <row r="622" spans="1:25" ht="15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6"/>
      <c r="T622" s="6"/>
      <c r="U622" s="6"/>
      <c r="V622" s="6"/>
      <c r="W622" s="6"/>
      <c r="X622" s="6"/>
      <c r="Y622" s="6"/>
    </row>
    <row r="623" spans="1:25" ht="15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6"/>
      <c r="T623" s="6"/>
      <c r="U623" s="6"/>
      <c r="V623" s="6"/>
      <c r="W623" s="6"/>
      <c r="X623" s="6"/>
      <c r="Y623" s="6"/>
    </row>
    <row r="624" spans="1:25" ht="15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6"/>
      <c r="T624" s="6"/>
      <c r="U624" s="6"/>
      <c r="V624" s="6"/>
      <c r="W624" s="6"/>
      <c r="X624" s="6"/>
      <c r="Y624" s="6"/>
    </row>
    <row r="625" spans="1:25" ht="15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6"/>
      <c r="T625" s="6"/>
      <c r="U625" s="6"/>
      <c r="V625" s="6"/>
      <c r="W625" s="6"/>
      <c r="X625" s="6"/>
      <c r="Y625" s="6"/>
    </row>
    <row r="626" spans="1:25" ht="15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6"/>
      <c r="T626" s="6"/>
      <c r="U626" s="6"/>
      <c r="V626" s="6"/>
      <c r="W626" s="6"/>
      <c r="X626" s="6"/>
      <c r="Y626" s="6"/>
    </row>
    <row r="627" spans="1:25" ht="15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6"/>
      <c r="T627" s="6"/>
      <c r="U627" s="6"/>
      <c r="V627" s="6"/>
      <c r="W627" s="6"/>
      <c r="X627" s="6"/>
      <c r="Y627" s="6"/>
    </row>
    <row r="628" spans="1:25" ht="15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6"/>
      <c r="T628" s="6"/>
      <c r="U628" s="6"/>
      <c r="V628" s="6"/>
      <c r="W628" s="6"/>
      <c r="X628" s="6"/>
      <c r="Y628" s="6"/>
    </row>
    <row r="629" spans="1:25" ht="15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6"/>
      <c r="T629" s="6"/>
      <c r="U629" s="6"/>
      <c r="V629" s="6"/>
      <c r="W629" s="6"/>
      <c r="X629" s="6"/>
      <c r="Y629" s="6"/>
    </row>
    <row r="630" spans="1:25" ht="15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6"/>
      <c r="T630" s="6"/>
      <c r="U630" s="6"/>
      <c r="V630" s="6"/>
      <c r="W630" s="6"/>
      <c r="X630" s="6"/>
      <c r="Y630" s="6"/>
    </row>
    <row r="631" spans="1:25" ht="15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6"/>
      <c r="T631" s="6"/>
      <c r="U631" s="6"/>
      <c r="V631" s="6"/>
      <c r="W631" s="6"/>
      <c r="X631" s="6"/>
      <c r="Y631" s="6"/>
    </row>
    <row r="632" spans="1:25" ht="15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6"/>
      <c r="T632" s="6"/>
      <c r="U632" s="6"/>
      <c r="V632" s="6"/>
      <c r="W632" s="6"/>
      <c r="X632" s="6"/>
      <c r="Y632" s="6"/>
    </row>
    <row r="633" spans="1:25" ht="15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6"/>
      <c r="T633" s="6"/>
      <c r="U633" s="6"/>
      <c r="V633" s="6"/>
      <c r="W633" s="6"/>
      <c r="X633" s="6"/>
      <c r="Y633" s="6"/>
    </row>
    <row r="634" spans="1:25" ht="15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6"/>
      <c r="T634" s="6"/>
      <c r="U634" s="6"/>
      <c r="V634" s="6"/>
      <c r="W634" s="6"/>
      <c r="X634" s="6"/>
      <c r="Y634" s="6"/>
    </row>
    <row r="635" spans="1:25" ht="15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6"/>
      <c r="T635" s="6"/>
      <c r="U635" s="6"/>
      <c r="V635" s="6"/>
      <c r="W635" s="6"/>
      <c r="X635" s="6"/>
      <c r="Y635" s="6"/>
    </row>
    <row r="636" spans="1:25" ht="15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6"/>
      <c r="T636" s="6"/>
      <c r="U636" s="6"/>
      <c r="V636" s="6"/>
      <c r="W636" s="6"/>
      <c r="X636" s="6"/>
      <c r="Y636" s="6"/>
    </row>
    <row r="637" spans="1:25" ht="15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6"/>
      <c r="T637" s="6"/>
      <c r="U637" s="6"/>
      <c r="V637" s="6"/>
      <c r="W637" s="6"/>
      <c r="X637" s="6"/>
      <c r="Y637" s="6"/>
    </row>
    <row r="638" spans="1:25" ht="15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6"/>
      <c r="T638" s="6"/>
      <c r="U638" s="6"/>
      <c r="V638" s="6"/>
      <c r="W638" s="6"/>
      <c r="X638" s="6"/>
      <c r="Y638" s="6"/>
    </row>
    <row r="639" spans="1:25" ht="15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6"/>
      <c r="T639" s="6"/>
      <c r="U639" s="6"/>
      <c r="V639" s="6"/>
      <c r="W639" s="6"/>
      <c r="X639" s="6"/>
      <c r="Y639" s="6"/>
    </row>
    <row r="640" spans="1:25" ht="15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6"/>
      <c r="T640" s="6"/>
      <c r="U640" s="6"/>
      <c r="V640" s="6"/>
      <c r="W640" s="6"/>
      <c r="X640" s="6"/>
      <c r="Y640" s="6"/>
    </row>
    <row r="641" spans="1:25" ht="15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6"/>
      <c r="T641" s="6"/>
      <c r="U641" s="6"/>
      <c r="V641" s="6"/>
      <c r="W641" s="6"/>
      <c r="X641" s="6"/>
      <c r="Y641" s="6"/>
    </row>
    <row r="642" spans="1:25" ht="15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6"/>
      <c r="T642" s="6"/>
      <c r="U642" s="6"/>
      <c r="V642" s="6"/>
      <c r="W642" s="6"/>
      <c r="X642" s="6"/>
      <c r="Y642" s="6"/>
    </row>
    <row r="643" spans="1:25" ht="15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6"/>
      <c r="T643" s="6"/>
      <c r="U643" s="6"/>
      <c r="V643" s="6"/>
      <c r="W643" s="6"/>
      <c r="X643" s="6"/>
      <c r="Y643" s="6"/>
    </row>
    <row r="644" spans="1:25" ht="15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6"/>
      <c r="T644" s="6"/>
      <c r="U644" s="6"/>
      <c r="V644" s="6"/>
      <c r="W644" s="6"/>
      <c r="X644" s="6"/>
      <c r="Y644" s="6"/>
    </row>
    <row r="645" spans="1:25" ht="15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6"/>
      <c r="T645" s="6"/>
      <c r="U645" s="6"/>
      <c r="V645" s="6"/>
      <c r="W645" s="6"/>
      <c r="X645" s="6"/>
      <c r="Y645" s="6"/>
    </row>
    <row r="646" spans="1:25" ht="15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6"/>
      <c r="T646" s="6"/>
      <c r="U646" s="6"/>
      <c r="V646" s="6"/>
      <c r="W646" s="6"/>
      <c r="X646" s="6"/>
      <c r="Y646" s="6"/>
    </row>
    <row r="647" spans="1:25" ht="15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6"/>
      <c r="T647" s="6"/>
      <c r="U647" s="6"/>
      <c r="V647" s="6"/>
      <c r="W647" s="6"/>
      <c r="X647" s="6"/>
      <c r="Y647" s="6"/>
    </row>
    <row r="648" spans="1:25" ht="15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6"/>
      <c r="T648" s="6"/>
      <c r="U648" s="6"/>
      <c r="V648" s="6"/>
      <c r="W648" s="6"/>
      <c r="X648" s="6"/>
      <c r="Y648" s="6"/>
    </row>
    <row r="649" spans="1:25" ht="15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6"/>
      <c r="T649" s="6"/>
      <c r="U649" s="6"/>
      <c r="V649" s="6"/>
      <c r="W649" s="6"/>
      <c r="X649" s="6"/>
      <c r="Y649" s="6"/>
    </row>
    <row r="650" spans="1:25" ht="15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6"/>
      <c r="T650" s="6"/>
      <c r="U650" s="6"/>
      <c r="V650" s="6"/>
      <c r="W650" s="6"/>
      <c r="X650" s="6"/>
      <c r="Y650" s="6"/>
    </row>
    <row r="651" spans="1:25" ht="15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6"/>
      <c r="T651" s="6"/>
      <c r="U651" s="6"/>
      <c r="V651" s="6"/>
      <c r="W651" s="6"/>
      <c r="X651" s="6"/>
      <c r="Y651" s="6"/>
    </row>
    <row r="652" spans="1:25" ht="15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6"/>
      <c r="T652" s="6"/>
      <c r="U652" s="6"/>
      <c r="V652" s="6"/>
      <c r="W652" s="6"/>
      <c r="X652" s="6"/>
      <c r="Y652" s="6"/>
    </row>
    <row r="653" spans="1:25" ht="15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6"/>
      <c r="T653" s="6"/>
      <c r="U653" s="6"/>
      <c r="V653" s="6"/>
      <c r="W653" s="6"/>
      <c r="X653" s="6"/>
      <c r="Y653" s="6"/>
    </row>
    <row r="654" spans="1:25" ht="15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6"/>
      <c r="T654" s="6"/>
      <c r="U654" s="6"/>
      <c r="V654" s="6"/>
      <c r="W654" s="6"/>
      <c r="X654" s="6"/>
      <c r="Y654" s="6"/>
    </row>
    <row r="655" spans="1:25" ht="15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6"/>
      <c r="T655" s="6"/>
      <c r="U655" s="6"/>
      <c r="V655" s="6"/>
      <c r="W655" s="6"/>
      <c r="X655" s="6"/>
      <c r="Y655" s="6"/>
    </row>
    <row r="656" spans="1:25" ht="15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6"/>
      <c r="T656" s="6"/>
      <c r="U656" s="6"/>
      <c r="V656" s="6"/>
      <c r="W656" s="6"/>
      <c r="X656" s="6"/>
      <c r="Y656" s="6"/>
    </row>
    <row r="657" spans="1:25" ht="15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6"/>
      <c r="T657" s="6"/>
      <c r="U657" s="6"/>
      <c r="V657" s="6"/>
      <c r="W657" s="6"/>
      <c r="X657" s="6"/>
      <c r="Y657" s="6"/>
    </row>
    <row r="658" spans="1:25" ht="15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6"/>
      <c r="T658" s="6"/>
      <c r="U658" s="6"/>
      <c r="V658" s="6"/>
      <c r="W658" s="6"/>
      <c r="X658" s="6"/>
      <c r="Y658" s="6"/>
    </row>
    <row r="659" spans="1:25" ht="15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6"/>
      <c r="T659" s="6"/>
      <c r="U659" s="6"/>
      <c r="V659" s="6"/>
      <c r="W659" s="6"/>
      <c r="X659" s="6"/>
      <c r="Y659" s="6"/>
    </row>
    <row r="660" spans="1:25" ht="15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6"/>
      <c r="T660" s="6"/>
      <c r="U660" s="6"/>
      <c r="V660" s="6"/>
      <c r="W660" s="6"/>
      <c r="X660" s="6"/>
      <c r="Y660" s="6"/>
    </row>
    <row r="661" spans="1:25" ht="15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6"/>
      <c r="T661" s="6"/>
      <c r="U661" s="6"/>
      <c r="V661" s="6"/>
      <c r="W661" s="6"/>
      <c r="X661" s="6"/>
      <c r="Y661" s="6"/>
    </row>
    <row r="662" spans="1:25" ht="15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6"/>
      <c r="T662" s="6"/>
      <c r="U662" s="6"/>
      <c r="V662" s="6"/>
      <c r="W662" s="6"/>
      <c r="X662" s="6"/>
      <c r="Y662" s="6"/>
    </row>
    <row r="663" spans="1:25" ht="15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6"/>
      <c r="T663" s="6"/>
      <c r="U663" s="6"/>
      <c r="V663" s="6"/>
      <c r="W663" s="6"/>
      <c r="X663" s="6"/>
      <c r="Y663" s="6"/>
    </row>
    <row r="664" spans="1:25" ht="15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6"/>
      <c r="T664" s="6"/>
      <c r="U664" s="6"/>
      <c r="V664" s="6"/>
      <c r="W664" s="6"/>
      <c r="X664" s="6"/>
      <c r="Y664" s="6"/>
    </row>
    <row r="665" spans="1:25" ht="15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6"/>
      <c r="T665" s="6"/>
      <c r="U665" s="6"/>
      <c r="V665" s="6"/>
      <c r="W665" s="6"/>
      <c r="X665" s="6"/>
      <c r="Y665" s="6"/>
    </row>
    <row r="666" spans="1:25" ht="15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6"/>
      <c r="T666" s="6"/>
      <c r="U666" s="6"/>
      <c r="V666" s="6"/>
      <c r="W666" s="6"/>
      <c r="X666" s="6"/>
      <c r="Y666" s="6"/>
    </row>
    <row r="667" spans="1:25" ht="15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6"/>
      <c r="T667" s="6"/>
      <c r="U667" s="6"/>
      <c r="V667" s="6"/>
      <c r="W667" s="6"/>
      <c r="X667" s="6"/>
      <c r="Y667" s="6"/>
    </row>
    <row r="668" spans="1:25" ht="15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6"/>
      <c r="T668" s="6"/>
      <c r="U668" s="6"/>
      <c r="V668" s="6"/>
      <c r="W668" s="6"/>
      <c r="X668" s="6"/>
      <c r="Y668" s="6"/>
    </row>
    <row r="669" spans="1:25" ht="15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6"/>
      <c r="T669" s="6"/>
      <c r="U669" s="6"/>
      <c r="V669" s="6"/>
      <c r="W669" s="6"/>
      <c r="X669" s="6"/>
      <c r="Y669" s="6"/>
    </row>
    <row r="670" spans="1:25" ht="15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6"/>
      <c r="T670" s="6"/>
      <c r="U670" s="6"/>
      <c r="V670" s="6"/>
      <c r="W670" s="6"/>
      <c r="X670" s="6"/>
      <c r="Y670" s="6"/>
    </row>
    <row r="671" spans="1:25" ht="15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6"/>
      <c r="T671" s="6"/>
      <c r="U671" s="6"/>
      <c r="V671" s="6"/>
      <c r="W671" s="6"/>
      <c r="X671" s="6"/>
      <c r="Y671" s="6"/>
    </row>
    <row r="672" spans="1:25" ht="15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6"/>
      <c r="T672" s="6"/>
      <c r="U672" s="6"/>
      <c r="V672" s="6"/>
      <c r="W672" s="6"/>
      <c r="X672" s="6"/>
      <c r="Y672" s="6"/>
    </row>
    <row r="673" spans="1:25" ht="15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6"/>
      <c r="T673" s="6"/>
      <c r="U673" s="6"/>
      <c r="V673" s="6"/>
      <c r="W673" s="6"/>
      <c r="X673" s="6"/>
      <c r="Y673" s="6"/>
    </row>
    <row r="674" spans="1:25" ht="15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6"/>
      <c r="T674" s="6"/>
      <c r="U674" s="6"/>
      <c r="V674" s="6"/>
      <c r="W674" s="6"/>
      <c r="X674" s="6"/>
      <c r="Y674" s="6"/>
    </row>
    <row r="675" spans="1:25" ht="15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6"/>
      <c r="T675" s="6"/>
      <c r="U675" s="6"/>
      <c r="V675" s="6"/>
      <c r="W675" s="6"/>
      <c r="X675" s="6"/>
      <c r="Y675" s="6"/>
    </row>
    <row r="676" spans="1:25" ht="15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6"/>
      <c r="T676" s="6"/>
      <c r="U676" s="6"/>
      <c r="V676" s="6"/>
      <c r="W676" s="6"/>
      <c r="X676" s="6"/>
      <c r="Y676" s="6"/>
    </row>
    <row r="677" spans="1:25" ht="15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6"/>
      <c r="T677" s="6"/>
      <c r="U677" s="6"/>
      <c r="V677" s="6"/>
      <c r="W677" s="6"/>
      <c r="X677" s="6"/>
      <c r="Y677" s="6"/>
    </row>
    <row r="678" spans="1:25" ht="15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6"/>
      <c r="T678" s="6"/>
      <c r="U678" s="6"/>
      <c r="V678" s="6"/>
      <c r="W678" s="6"/>
      <c r="X678" s="6"/>
      <c r="Y678" s="6"/>
    </row>
    <row r="679" spans="1:25" ht="15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6"/>
      <c r="T679" s="6"/>
      <c r="U679" s="6"/>
      <c r="V679" s="6"/>
      <c r="W679" s="6"/>
      <c r="X679" s="6"/>
      <c r="Y679" s="6"/>
    </row>
    <row r="680" spans="1:25" ht="15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6"/>
      <c r="T680" s="6"/>
      <c r="U680" s="6"/>
      <c r="V680" s="6"/>
      <c r="W680" s="6"/>
      <c r="X680" s="6"/>
      <c r="Y680" s="6"/>
    </row>
    <row r="681" spans="1:25" ht="15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6"/>
      <c r="T681" s="6"/>
      <c r="U681" s="6"/>
      <c r="V681" s="6"/>
      <c r="W681" s="6"/>
      <c r="X681" s="6"/>
      <c r="Y681" s="6"/>
    </row>
    <row r="682" spans="1:25" ht="15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6"/>
      <c r="T682" s="6"/>
      <c r="U682" s="6"/>
      <c r="V682" s="6"/>
      <c r="W682" s="6"/>
      <c r="X682" s="6"/>
      <c r="Y682" s="6"/>
    </row>
    <row r="683" spans="1:25" ht="15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6"/>
      <c r="T683" s="6"/>
      <c r="U683" s="6"/>
      <c r="V683" s="6"/>
      <c r="W683" s="6"/>
      <c r="X683" s="6"/>
      <c r="Y683" s="6"/>
    </row>
    <row r="684" spans="1:25" ht="15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6"/>
      <c r="T684" s="6"/>
      <c r="U684" s="6"/>
      <c r="V684" s="6"/>
      <c r="W684" s="6"/>
      <c r="X684" s="6"/>
      <c r="Y684" s="6"/>
    </row>
    <row r="685" spans="1:25" ht="15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6"/>
      <c r="T685" s="6"/>
      <c r="U685" s="6"/>
      <c r="V685" s="6"/>
      <c r="W685" s="6"/>
      <c r="X685" s="6"/>
      <c r="Y685" s="6"/>
    </row>
    <row r="686" spans="1:25" ht="15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6"/>
      <c r="T686" s="6"/>
      <c r="U686" s="6"/>
      <c r="V686" s="6"/>
      <c r="W686" s="6"/>
      <c r="X686" s="6"/>
      <c r="Y686" s="6"/>
    </row>
    <row r="687" spans="1:25" ht="15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6"/>
      <c r="T687" s="6"/>
      <c r="U687" s="6"/>
      <c r="V687" s="6"/>
      <c r="W687" s="6"/>
      <c r="X687" s="6"/>
      <c r="Y687" s="6"/>
    </row>
    <row r="688" spans="1:25" ht="15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6"/>
      <c r="T688" s="6"/>
      <c r="U688" s="6"/>
      <c r="V688" s="6"/>
      <c r="W688" s="6"/>
      <c r="X688" s="6"/>
      <c r="Y688" s="6"/>
    </row>
    <row r="689" spans="1:25" ht="15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6"/>
      <c r="T689" s="6"/>
      <c r="U689" s="6"/>
      <c r="V689" s="6"/>
      <c r="W689" s="6"/>
      <c r="X689" s="6"/>
      <c r="Y689" s="6"/>
    </row>
    <row r="690" spans="1:25" ht="15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6"/>
      <c r="T690" s="6"/>
      <c r="U690" s="6"/>
      <c r="V690" s="6"/>
      <c r="W690" s="6"/>
      <c r="X690" s="6"/>
      <c r="Y690" s="6"/>
    </row>
    <row r="691" spans="1:25" ht="15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6"/>
      <c r="T691" s="6"/>
      <c r="U691" s="6"/>
      <c r="V691" s="6"/>
      <c r="W691" s="6"/>
      <c r="X691" s="6"/>
      <c r="Y691" s="6"/>
    </row>
    <row r="692" spans="1:25" ht="15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6"/>
      <c r="T692" s="6"/>
      <c r="U692" s="6"/>
      <c r="V692" s="6"/>
      <c r="W692" s="6"/>
      <c r="X692" s="6"/>
      <c r="Y692" s="6"/>
    </row>
    <row r="693" spans="1:25" ht="15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6"/>
      <c r="T693" s="6"/>
      <c r="U693" s="6"/>
      <c r="V693" s="6"/>
      <c r="W693" s="6"/>
      <c r="X693" s="6"/>
      <c r="Y693" s="6"/>
    </row>
    <row r="694" spans="1:25" ht="15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6"/>
      <c r="T694" s="6"/>
      <c r="U694" s="6"/>
      <c r="V694" s="6"/>
      <c r="W694" s="6"/>
      <c r="X694" s="6"/>
      <c r="Y694" s="6"/>
    </row>
    <row r="695" spans="1:25" ht="15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6"/>
      <c r="T695" s="6"/>
      <c r="U695" s="6"/>
      <c r="V695" s="6"/>
      <c r="W695" s="6"/>
      <c r="X695" s="6"/>
      <c r="Y695" s="6"/>
    </row>
    <row r="696" spans="1:25" ht="15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6"/>
      <c r="T696" s="6"/>
      <c r="U696" s="6"/>
      <c r="V696" s="6"/>
      <c r="W696" s="6"/>
      <c r="X696" s="6"/>
      <c r="Y696" s="6"/>
    </row>
    <row r="697" spans="1:25" ht="15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6"/>
      <c r="T697" s="6"/>
      <c r="U697" s="6"/>
      <c r="V697" s="6"/>
      <c r="W697" s="6"/>
      <c r="X697" s="6"/>
      <c r="Y697" s="6"/>
    </row>
    <row r="698" spans="1:25" ht="15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6"/>
      <c r="T698" s="6"/>
      <c r="U698" s="6"/>
      <c r="V698" s="6"/>
      <c r="W698" s="6"/>
      <c r="X698" s="6"/>
      <c r="Y698" s="6"/>
    </row>
    <row r="699" spans="1:25" ht="15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6"/>
      <c r="T699" s="6"/>
      <c r="U699" s="6"/>
      <c r="V699" s="6"/>
      <c r="W699" s="6"/>
      <c r="X699" s="6"/>
      <c r="Y699" s="6"/>
    </row>
    <row r="700" spans="1:25" ht="15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6"/>
      <c r="T700" s="6"/>
      <c r="U700" s="6"/>
      <c r="V700" s="6"/>
      <c r="W700" s="6"/>
      <c r="X700" s="6"/>
      <c r="Y700" s="6"/>
    </row>
    <row r="701" spans="1:25" ht="15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6"/>
      <c r="T701" s="6"/>
      <c r="U701" s="6"/>
      <c r="V701" s="6"/>
      <c r="W701" s="6"/>
      <c r="X701" s="6"/>
      <c r="Y701" s="6"/>
    </row>
    <row r="702" spans="1:25" ht="15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6"/>
      <c r="T702" s="6"/>
      <c r="U702" s="6"/>
      <c r="V702" s="6"/>
      <c r="W702" s="6"/>
      <c r="X702" s="6"/>
      <c r="Y702" s="6"/>
    </row>
    <row r="703" spans="1:25" ht="15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6"/>
      <c r="T703" s="6"/>
      <c r="U703" s="6"/>
      <c r="V703" s="6"/>
      <c r="W703" s="6"/>
      <c r="X703" s="6"/>
      <c r="Y703" s="6"/>
    </row>
    <row r="704" spans="1:25" ht="15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6"/>
      <c r="T704" s="6"/>
      <c r="U704" s="6"/>
      <c r="V704" s="6"/>
      <c r="W704" s="6"/>
      <c r="X704" s="6"/>
      <c r="Y704" s="6"/>
    </row>
    <row r="705" spans="1:25" ht="15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6"/>
      <c r="T705" s="6"/>
      <c r="U705" s="6"/>
      <c r="V705" s="6"/>
      <c r="W705" s="6"/>
      <c r="X705" s="6"/>
      <c r="Y705" s="6"/>
    </row>
    <row r="706" spans="1:25" ht="15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6"/>
      <c r="T706" s="6"/>
      <c r="U706" s="6"/>
      <c r="V706" s="6"/>
      <c r="W706" s="6"/>
      <c r="X706" s="6"/>
      <c r="Y706" s="6"/>
    </row>
    <row r="707" spans="1:25" ht="15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6"/>
      <c r="T707" s="6"/>
      <c r="U707" s="6"/>
      <c r="V707" s="6"/>
      <c r="W707" s="6"/>
      <c r="X707" s="6"/>
      <c r="Y707" s="6"/>
    </row>
    <row r="708" spans="1:25" ht="15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6"/>
      <c r="T708" s="6"/>
      <c r="U708" s="6"/>
      <c r="V708" s="6"/>
      <c r="W708" s="6"/>
      <c r="X708" s="6"/>
      <c r="Y708" s="6"/>
    </row>
    <row r="709" spans="1:25" ht="15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6"/>
      <c r="T709" s="6"/>
      <c r="U709" s="6"/>
      <c r="V709" s="6"/>
      <c r="W709" s="6"/>
      <c r="X709" s="6"/>
      <c r="Y709" s="6"/>
    </row>
    <row r="710" spans="1:25" ht="15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6"/>
      <c r="T710" s="6"/>
      <c r="U710" s="6"/>
      <c r="V710" s="6"/>
      <c r="W710" s="6"/>
      <c r="X710" s="6"/>
      <c r="Y710" s="6"/>
    </row>
    <row r="711" spans="1:25" ht="15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6"/>
      <c r="T711" s="6"/>
      <c r="U711" s="6"/>
      <c r="V711" s="6"/>
      <c r="W711" s="6"/>
      <c r="X711" s="6"/>
      <c r="Y711" s="6"/>
    </row>
    <row r="712" spans="1:25" ht="15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6"/>
      <c r="T712" s="6"/>
      <c r="U712" s="6"/>
      <c r="V712" s="6"/>
      <c r="W712" s="6"/>
      <c r="X712" s="6"/>
      <c r="Y712" s="6"/>
    </row>
    <row r="713" spans="1:25" ht="15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6"/>
      <c r="T713" s="6"/>
      <c r="U713" s="6"/>
      <c r="V713" s="6"/>
      <c r="W713" s="6"/>
      <c r="X713" s="6"/>
      <c r="Y713" s="6"/>
    </row>
    <row r="714" spans="1:25" ht="15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6"/>
      <c r="T714" s="6"/>
      <c r="U714" s="6"/>
      <c r="V714" s="6"/>
      <c r="W714" s="6"/>
      <c r="X714" s="6"/>
      <c r="Y714" s="6"/>
    </row>
    <row r="715" spans="1:25" ht="15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6"/>
      <c r="T715" s="6"/>
      <c r="U715" s="6"/>
      <c r="V715" s="6"/>
      <c r="W715" s="6"/>
      <c r="X715" s="6"/>
      <c r="Y715" s="6"/>
    </row>
    <row r="716" spans="1:25" ht="15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6"/>
      <c r="T716" s="6"/>
      <c r="U716" s="6"/>
      <c r="V716" s="6"/>
      <c r="W716" s="6"/>
      <c r="X716" s="6"/>
      <c r="Y716" s="6"/>
    </row>
    <row r="717" spans="1:25" ht="15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6"/>
      <c r="T717" s="6"/>
      <c r="U717" s="6"/>
      <c r="V717" s="6"/>
      <c r="W717" s="6"/>
      <c r="X717" s="6"/>
      <c r="Y717" s="6"/>
    </row>
    <row r="718" spans="1:25" ht="15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6"/>
      <c r="T718" s="6"/>
      <c r="U718" s="6"/>
      <c r="V718" s="6"/>
      <c r="W718" s="6"/>
      <c r="X718" s="6"/>
      <c r="Y718" s="6"/>
    </row>
    <row r="719" spans="1:25" ht="15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6"/>
      <c r="T719" s="6"/>
      <c r="U719" s="6"/>
      <c r="V719" s="6"/>
      <c r="W719" s="6"/>
      <c r="X719" s="6"/>
      <c r="Y719" s="6"/>
    </row>
    <row r="720" spans="1:25" ht="15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6"/>
      <c r="T720" s="6"/>
      <c r="U720" s="6"/>
      <c r="V720" s="6"/>
      <c r="W720" s="6"/>
      <c r="X720" s="6"/>
      <c r="Y720" s="6"/>
    </row>
    <row r="721" spans="1:25" ht="15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6"/>
      <c r="T721" s="6"/>
      <c r="U721" s="6"/>
      <c r="V721" s="6"/>
      <c r="W721" s="6"/>
      <c r="X721" s="6"/>
      <c r="Y721" s="6"/>
    </row>
    <row r="722" spans="1:25" ht="15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6"/>
      <c r="T722" s="6"/>
      <c r="U722" s="6"/>
      <c r="V722" s="6"/>
      <c r="W722" s="6"/>
      <c r="X722" s="6"/>
      <c r="Y722" s="6"/>
    </row>
    <row r="723" spans="1:25" ht="15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6"/>
      <c r="T723" s="6"/>
      <c r="U723" s="6"/>
      <c r="V723" s="6"/>
      <c r="W723" s="6"/>
      <c r="X723" s="6"/>
      <c r="Y723" s="6"/>
    </row>
    <row r="724" spans="1:25" ht="15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6"/>
      <c r="T724" s="6"/>
      <c r="U724" s="6"/>
      <c r="V724" s="6"/>
      <c r="W724" s="6"/>
      <c r="X724" s="6"/>
      <c r="Y724" s="6"/>
    </row>
    <row r="725" spans="1:25" ht="15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6"/>
      <c r="T725" s="6"/>
      <c r="U725" s="6"/>
      <c r="V725" s="6"/>
      <c r="W725" s="6"/>
      <c r="X725" s="6"/>
      <c r="Y725" s="6"/>
    </row>
    <row r="726" spans="1:25" ht="15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6"/>
      <c r="T726" s="6"/>
      <c r="U726" s="6"/>
      <c r="V726" s="6"/>
      <c r="W726" s="6"/>
      <c r="X726" s="6"/>
      <c r="Y726" s="6"/>
    </row>
    <row r="727" spans="1:25" ht="15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6"/>
      <c r="T727" s="6"/>
      <c r="U727" s="6"/>
      <c r="V727" s="6"/>
      <c r="W727" s="6"/>
      <c r="X727" s="6"/>
      <c r="Y727" s="6"/>
    </row>
    <row r="728" spans="1:25" ht="15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6"/>
      <c r="T728" s="6"/>
      <c r="U728" s="6"/>
      <c r="V728" s="6"/>
      <c r="W728" s="6"/>
      <c r="X728" s="6"/>
      <c r="Y728" s="6"/>
    </row>
    <row r="729" spans="1:25" ht="15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6"/>
      <c r="T729" s="6"/>
      <c r="U729" s="6"/>
      <c r="V729" s="6"/>
      <c r="W729" s="6"/>
      <c r="X729" s="6"/>
      <c r="Y729" s="6"/>
    </row>
    <row r="730" spans="1:25" ht="15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6"/>
      <c r="T730" s="6"/>
      <c r="U730" s="6"/>
      <c r="V730" s="6"/>
      <c r="W730" s="6"/>
      <c r="X730" s="6"/>
      <c r="Y730" s="6"/>
    </row>
    <row r="731" spans="1:25" ht="15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6"/>
      <c r="T731" s="6"/>
      <c r="U731" s="6"/>
      <c r="V731" s="6"/>
      <c r="W731" s="6"/>
      <c r="X731" s="6"/>
      <c r="Y731" s="6"/>
    </row>
    <row r="732" spans="1:25" ht="15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6"/>
      <c r="T732" s="6"/>
      <c r="U732" s="6"/>
      <c r="V732" s="6"/>
      <c r="W732" s="6"/>
      <c r="X732" s="6"/>
      <c r="Y732" s="6"/>
    </row>
    <row r="733" spans="1:25" ht="15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6"/>
      <c r="T733" s="6"/>
      <c r="U733" s="6"/>
      <c r="V733" s="6"/>
      <c r="W733" s="6"/>
      <c r="X733" s="6"/>
      <c r="Y733" s="6"/>
    </row>
    <row r="734" spans="1:25" ht="15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6"/>
      <c r="T734" s="6"/>
      <c r="U734" s="6"/>
      <c r="V734" s="6"/>
      <c r="W734" s="6"/>
      <c r="X734" s="6"/>
      <c r="Y734" s="6"/>
    </row>
    <row r="735" spans="1:25" ht="15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6"/>
      <c r="T735" s="6"/>
      <c r="U735" s="6"/>
      <c r="V735" s="6"/>
      <c r="W735" s="6"/>
      <c r="X735" s="6"/>
      <c r="Y735" s="6"/>
    </row>
    <row r="736" spans="1:25" ht="15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6"/>
      <c r="T736" s="6"/>
      <c r="U736" s="6"/>
      <c r="V736" s="6"/>
      <c r="W736" s="6"/>
      <c r="X736" s="6"/>
      <c r="Y736" s="6"/>
    </row>
    <row r="737" spans="1:25" ht="15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6"/>
      <c r="T737" s="6"/>
      <c r="U737" s="6"/>
      <c r="V737" s="6"/>
      <c r="W737" s="6"/>
      <c r="X737" s="6"/>
      <c r="Y737" s="6"/>
    </row>
    <row r="738" spans="1:25" ht="15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6"/>
      <c r="T738" s="6"/>
      <c r="U738" s="6"/>
      <c r="V738" s="6"/>
      <c r="W738" s="6"/>
      <c r="X738" s="6"/>
      <c r="Y738" s="6"/>
    </row>
    <row r="739" spans="1:25" ht="15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6"/>
      <c r="T739" s="6"/>
      <c r="U739" s="6"/>
      <c r="V739" s="6"/>
      <c r="W739" s="6"/>
      <c r="X739" s="6"/>
      <c r="Y739" s="6"/>
    </row>
    <row r="740" spans="1:25" ht="15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6"/>
      <c r="T740" s="6"/>
      <c r="U740" s="6"/>
      <c r="V740" s="6"/>
      <c r="W740" s="6"/>
      <c r="X740" s="6"/>
      <c r="Y740" s="6"/>
    </row>
    <row r="741" spans="1:25" ht="15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6"/>
      <c r="T741" s="6"/>
      <c r="U741" s="6"/>
      <c r="V741" s="6"/>
      <c r="W741" s="6"/>
      <c r="X741" s="6"/>
      <c r="Y741" s="6"/>
    </row>
    <row r="742" spans="1:25" ht="15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6"/>
      <c r="T742" s="6"/>
      <c r="U742" s="6"/>
      <c r="V742" s="6"/>
      <c r="W742" s="6"/>
      <c r="X742" s="6"/>
      <c r="Y742" s="6"/>
    </row>
    <row r="743" spans="1:25" ht="15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6"/>
      <c r="T743" s="6"/>
      <c r="U743" s="6"/>
      <c r="V743" s="6"/>
      <c r="W743" s="6"/>
      <c r="X743" s="6"/>
      <c r="Y743" s="6"/>
    </row>
    <row r="744" spans="1:25" ht="15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6"/>
      <c r="T744" s="6"/>
      <c r="U744" s="6"/>
      <c r="V744" s="6"/>
      <c r="W744" s="6"/>
      <c r="X744" s="6"/>
      <c r="Y744" s="6"/>
    </row>
    <row r="745" spans="1:25" ht="15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6"/>
      <c r="T745" s="6"/>
      <c r="U745" s="6"/>
      <c r="V745" s="6"/>
      <c r="W745" s="6"/>
      <c r="X745" s="6"/>
      <c r="Y745" s="6"/>
    </row>
    <row r="746" spans="1:25" ht="15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6"/>
      <c r="T746" s="6"/>
      <c r="U746" s="6"/>
      <c r="V746" s="6"/>
      <c r="W746" s="6"/>
      <c r="X746" s="6"/>
      <c r="Y746" s="6"/>
    </row>
    <row r="747" spans="1:25" ht="15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6"/>
      <c r="T747" s="6"/>
      <c r="U747" s="6"/>
      <c r="V747" s="6"/>
      <c r="W747" s="6"/>
      <c r="X747" s="6"/>
      <c r="Y747" s="6"/>
    </row>
    <row r="748" spans="1:25" ht="15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6"/>
      <c r="T748" s="6"/>
      <c r="U748" s="6"/>
      <c r="V748" s="6"/>
      <c r="W748" s="6"/>
      <c r="X748" s="6"/>
      <c r="Y748" s="6"/>
    </row>
    <row r="749" spans="1:25" ht="15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6"/>
      <c r="T749" s="6"/>
      <c r="U749" s="6"/>
      <c r="V749" s="6"/>
      <c r="W749" s="6"/>
      <c r="X749" s="6"/>
      <c r="Y749" s="6"/>
    </row>
    <row r="750" spans="1:25" ht="15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6"/>
      <c r="T750" s="6"/>
      <c r="U750" s="6"/>
      <c r="V750" s="6"/>
      <c r="W750" s="6"/>
      <c r="X750" s="6"/>
      <c r="Y750" s="6"/>
    </row>
    <row r="751" spans="1:25" ht="15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6"/>
      <c r="T751" s="6"/>
      <c r="U751" s="6"/>
      <c r="V751" s="6"/>
      <c r="W751" s="6"/>
      <c r="X751" s="6"/>
      <c r="Y751" s="6"/>
    </row>
    <row r="752" spans="1:25" ht="15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6"/>
      <c r="T752" s="6"/>
      <c r="U752" s="6"/>
      <c r="V752" s="6"/>
      <c r="W752" s="6"/>
      <c r="X752" s="6"/>
      <c r="Y752" s="6"/>
    </row>
    <row r="753" spans="1:25" ht="15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6"/>
      <c r="T753" s="6"/>
      <c r="U753" s="6"/>
      <c r="V753" s="6"/>
      <c r="W753" s="6"/>
      <c r="X753" s="6"/>
      <c r="Y753" s="6"/>
    </row>
    <row r="754" spans="1:25" ht="15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6"/>
      <c r="T754" s="6"/>
      <c r="U754" s="6"/>
      <c r="V754" s="6"/>
      <c r="W754" s="6"/>
      <c r="X754" s="6"/>
      <c r="Y754" s="6"/>
    </row>
    <row r="755" spans="1:25" ht="15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6"/>
      <c r="T755" s="6"/>
      <c r="U755" s="6"/>
      <c r="V755" s="6"/>
      <c r="W755" s="6"/>
      <c r="X755" s="6"/>
      <c r="Y755" s="6"/>
    </row>
    <row r="756" spans="1:25" ht="15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6"/>
      <c r="T756" s="6"/>
      <c r="U756" s="6"/>
      <c r="V756" s="6"/>
      <c r="W756" s="6"/>
      <c r="X756" s="6"/>
      <c r="Y756" s="6"/>
    </row>
    <row r="757" spans="1:25" ht="15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6"/>
      <c r="T757" s="6"/>
      <c r="U757" s="6"/>
      <c r="V757" s="6"/>
      <c r="W757" s="6"/>
      <c r="X757" s="6"/>
      <c r="Y757" s="6"/>
    </row>
    <row r="758" spans="1:25" ht="15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6"/>
      <c r="T758" s="6"/>
      <c r="U758" s="6"/>
      <c r="V758" s="6"/>
      <c r="W758" s="6"/>
      <c r="X758" s="6"/>
      <c r="Y758" s="6"/>
    </row>
    <row r="759" spans="1:25" ht="15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6"/>
      <c r="T759" s="6"/>
      <c r="U759" s="6"/>
      <c r="V759" s="6"/>
      <c r="W759" s="6"/>
      <c r="X759" s="6"/>
      <c r="Y759" s="6"/>
    </row>
    <row r="760" spans="1:25" ht="15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6"/>
      <c r="T760" s="6"/>
      <c r="U760" s="6"/>
      <c r="V760" s="6"/>
      <c r="W760" s="6"/>
      <c r="X760" s="6"/>
      <c r="Y760" s="6"/>
    </row>
    <row r="761" spans="1:25" ht="15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6"/>
      <c r="T761" s="6"/>
      <c r="U761" s="6"/>
      <c r="V761" s="6"/>
      <c r="W761" s="6"/>
      <c r="X761" s="6"/>
      <c r="Y761" s="6"/>
    </row>
    <row r="762" spans="1:25" ht="15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6"/>
      <c r="T762" s="6"/>
      <c r="U762" s="6"/>
      <c r="V762" s="6"/>
      <c r="W762" s="6"/>
      <c r="X762" s="6"/>
      <c r="Y762" s="6"/>
    </row>
    <row r="763" spans="1:25" ht="15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6"/>
      <c r="T763" s="6"/>
      <c r="U763" s="6"/>
      <c r="V763" s="6"/>
      <c r="W763" s="6"/>
      <c r="X763" s="6"/>
      <c r="Y763" s="6"/>
    </row>
    <row r="764" spans="1:25" ht="15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6"/>
      <c r="T764" s="6"/>
      <c r="U764" s="6"/>
      <c r="V764" s="6"/>
      <c r="W764" s="6"/>
      <c r="X764" s="6"/>
      <c r="Y764" s="6"/>
    </row>
    <row r="765" spans="1:25" ht="15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6"/>
      <c r="T765" s="6"/>
      <c r="U765" s="6"/>
      <c r="V765" s="6"/>
      <c r="W765" s="6"/>
      <c r="X765" s="6"/>
      <c r="Y765" s="6"/>
    </row>
    <row r="766" spans="1:25" ht="15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6"/>
      <c r="T766" s="6"/>
      <c r="U766" s="6"/>
      <c r="V766" s="6"/>
      <c r="W766" s="6"/>
      <c r="X766" s="6"/>
      <c r="Y766" s="6"/>
    </row>
    <row r="767" spans="1:25" ht="15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6"/>
      <c r="T767" s="6"/>
      <c r="U767" s="6"/>
      <c r="V767" s="6"/>
      <c r="W767" s="6"/>
      <c r="X767" s="6"/>
      <c r="Y767" s="6"/>
    </row>
    <row r="768" spans="1:25" ht="15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6"/>
      <c r="T768" s="6"/>
      <c r="U768" s="6"/>
      <c r="V768" s="6"/>
      <c r="W768" s="6"/>
      <c r="X768" s="6"/>
      <c r="Y768" s="6"/>
    </row>
    <row r="769" spans="1:25" ht="15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6"/>
      <c r="T769" s="6"/>
      <c r="U769" s="6"/>
      <c r="V769" s="6"/>
      <c r="W769" s="6"/>
      <c r="X769" s="6"/>
      <c r="Y769" s="6"/>
    </row>
    <row r="770" spans="1:25" ht="15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6"/>
      <c r="T770" s="6"/>
      <c r="U770" s="6"/>
      <c r="V770" s="6"/>
      <c r="W770" s="6"/>
      <c r="X770" s="6"/>
      <c r="Y770" s="6"/>
    </row>
    <row r="771" spans="1:25" ht="15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6"/>
      <c r="T771" s="6"/>
      <c r="U771" s="6"/>
      <c r="V771" s="6"/>
      <c r="W771" s="6"/>
      <c r="X771" s="6"/>
      <c r="Y771" s="6"/>
    </row>
    <row r="772" spans="1:25" ht="15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6"/>
      <c r="T772" s="6"/>
      <c r="U772" s="6"/>
      <c r="V772" s="6"/>
      <c r="W772" s="6"/>
      <c r="X772" s="6"/>
      <c r="Y772" s="6"/>
    </row>
    <row r="773" spans="1:25" ht="15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6"/>
      <c r="T773" s="6"/>
      <c r="U773" s="6"/>
      <c r="V773" s="6"/>
      <c r="W773" s="6"/>
      <c r="X773" s="6"/>
      <c r="Y773" s="6"/>
    </row>
    <row r="774" spans="1:25" ht="15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6"/>
      <c r="T774" s="6"/>
      <c r="U774" s="6"/>
      <c r="V774" s="6"/>
      <c r="W774" s="6"/>
      <c r="X774" s="6"/>
      <c r="Y774" s="6"/>
    </row>
    <row r="775" spans="1:25" ht="15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6"/>
      <c r="T775" s="6"/>
      <c r="U775" s="6"/>
      <c r="V775" s="6"/>
      <c r="W775" s="6"/>
      <c r="X775" s="6"/>
      <c r="Y775" s="6"/>
    </row>
    <row r="776" spans="1:25" ht="15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6"/>
      <c r="T776" s="6"/>
      <c r="U776" s="6"/>
      <c r="V776" s="6"/>
      <c r="W776" s="6"/>
      <c r="X776" s="6"/>
      <c r="Y776" s="6"/>
    </row>
    <row r="777" spans="1:25" ht="15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6"/>
      <c r="T777" s="6"/>
      <c r="U777" s="6"/>
      <c r="V777" s="6"/>
      <c r="W777" s="6"/>
      <c r="X777" s="6"/>
      <c r="Y777" s="6"/>
    </row>
    <row r="778" spans="1:25" ht="15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6"/>
      <c r="T778" s="6"/>
      <c r="U778" s="6"/>
      <c r="V778" s="6"/>
      <c r="W778" s="6"/>
      <c r="X778" s="6"/>
      <c r="Y778" s="6"/>
    </row>
    <row r="779" spans="1:25" ht="15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6"/>
      <c r="T779" s="6"/>
      <c r="U779" s="6"/>
      <c r="V779" s="6"/>
      <c r="W779" s="6"/>
      <c r="X779" s="6"/>
      <c r="Y779" s="6"/>
    </row>
    <row r="780" spans="1:25" ht="15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6"/>
      <c r="T780" s="6"/>
      <c r="U780" s="6"/>
      <c r="V780" s="6"/>
      <c r="W780" s="6"/>
      <c r="X780" s="6"/>
      <c r="Y780" s="6"/>
    </row>
    <row r="781" spans="1:25" ht="15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6"/>
      <c r="T781" s="6"/>
      <c r="U781" s="6"/>
      <c r="V781" s="6"/>
      <c r="W781" s="6"/>
      <c r="X781" s="6"/>
      <c r="Y781" s="6"/>
    </row>
    <row r="782" spans="1:25" ht="15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6"/>
      <c r="T782" s="6"/>
      <c r="U782" s="6"/>
      <c r="V782" s="6"/>
      <c r="W782" s="6"/>
      <c r="X782" s="6"/>
      <c r="Y782" s="6"/>
    </row>
    <row r="783" spans="1:25" ht="15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6"/>
      <c r="T783" s="6"/>
      <c r="U783" s="6"/>
      <c r="V783" s="6"/>
      <c r="W783" s="6"/>
      <c r="X783" s="6"/>
      <c r="Y783" s="6"/>
    </row>
    <row r="784" spans="1:25" ht="15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6"/>
      <c r="T784" s="6"/>
      <c r="U784" s="6"/>
      <c r="V784" s="6"/>
      <c r="W784" s="6"/>
      <c r="X784" s="6"/>
      <c r="Y784" s="6"/>
    </row>
    <row r="785" spans="1:25" ht="15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6"/>
      <c r="T785" s="6"/>
      <c r="U785" s="6"/>
      <c r="V785" s="6"/>
      <c r="W785" s="6"/>
      <c r="X785" s="6"/>
      <c r="Y785" s="6"/>
    </row>
    <row r="786" spans="1:25" ht="15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6"/>
      <c r="T786" s="6"/>
      <c r="U786" s="6"/>
      <c r="V786" s="6"/>
      <c r="W786" s="6"/>
      <c r="X786" s="6"/>
      <c r="Y786" s="6"/>
    </row>
    <row r="787" spans="1:25" ht="15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6"/>
      <c r="T787" s="6"/>
      <c r="U787" s="6"/>
      <c r="V787" s="6"/>
      <c r="W787" s="6"/>
      <c r="X787" s="6"/>
      <c r="Y787" s="6"/>
    </row>
    <row r="788" spans="1:25" ht="15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6"/>
      <c r="T788" s="6"/>
      <c r="U788" s="6"/>
      <c r="V788" s="6"/>
      <c r="W788" s="6"/>
      <c r="X788" s="6"/>
      <c r="Y788" s="6"/>
    </row>
    <row r="789" spans="1:25" ht="15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6"/>
      <c r="T789" s="6"/>
      <c r="U789" s="6"/>
      <c r="V789" s="6"/>
      <c r="W789" s="6"/>
      <c r="X789" s="6"/>
      <c r="Y789" s="6"/>
    </row>
    <row r="790" spans="1:25" ht="15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6"/>
      <c r="T790" s="6"/>
      <c r="U790" s="6"/>
      <c r="V790" s="6"/>
      <c r="W790" s="6"/>
      <c r="X790" s="6"/>
      <c r="Y790" s="6"/>
    </row>
    <row r="791" spans="1:25" ht="15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6"/>
      <c r="T791" s="6"/>
      <c r="U791" s="6"/>
      <c r="V791" s="6"/>
      <c r="W791" s="6"/>
      <c r="X791" s="6"/>
      <c r="Y791" s="6"/>
    </row>
    <row r="792" spans="1:25" ht="15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6"/>
      <c r="T792" s="6"/>
      <c r="U792" s="6"/>
      <c r="V792" s="6"/>
      <c r="W792" s="6"/>
      <c r="X792" s="6"/>
      <c r="Y792" s="6"/>
    </row>
    <row r="793" spans="1:25" ht="15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6"/>
      <c r="T793" s="6"/>
      <c r="U793" s="6"/>
      <c r="V793" s="6"/>
      <c r="W793" s="6"/>
      <c r="X793" s="6"/>
      <c r="Y793" s="6"/>
    </row>
    <row r="794" spans="1:25" ht="15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6"/>
      <c r="T794" s="6"/>
      <c r="U794" s="6"/>
      <c r="V794" s="6"/>
      <c r="W794" s="6"/>
      <c r="X794" s="6"/>
      <c r="Y794" s="6"/>
    </row>
    <row r="795" spans="1:25" ht="15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6"/>
      <c r="T795" s="6"/>
      <c r="U795" s="6"/>
      <c r="V795" s="6"/>
      <c r="W795" s="6"/>
      <c r="X795" s="6"/>
      <c r="Y795" s="6"/>
    </row>
    <row r="796" spans="1:25" ht="15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6"/>
      <c r="T796" s="6"/>
      <c r="U796" s="6"/>
      <c r="V796" s="6"/>
      <c r="W796" s="6"/>
      <c r="X796" s="6"/>
      <c r="Y796" s="6"/>
    </row>
    <row r="797" spans="1:25" ht="15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6"/>
      <c r="T797" s="6"/>
      <c r="U797" s="6"/>
      <c r="V797" s="6"/>
      <c r="W797" s="6"/>
      <c r="X797" s="6"/>
      <c r="Y797" s="6"/>
    </row>
    <row r="798" spans="1:25" ht="15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6"/>
      <c r="T798" s="6"/>
      <c r="U798" s="6"/>
      <c r="V798" s="6"/>
      <c r="W798" s="6"/>
      <c r="X798" s="6"/>
      <c r="Y798" s="6"/>
    </row>
    <row r="799" spans="1:25" ht="15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6"/>
      <c r="T799" s="6"/>
      <c r="U799" s="6"/>
      <c r="V799" s="6"/>
      <c r="W799" s="6"/>
      <c r="X799" s="6"/>
      <c r="Y799" s="6"/>
    </row>
    <row r="800" spans="1:25" ht="15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6"/>
      <c r="T800" s="6"/>
      <c r="U800" s="6"/>
      <c r="V800" s="6"/>
      <c r="W800" s="6"/>
      <c r="X800" s="6"/>
      <c r="Y800" s="6"/>
    </row>
    <row r="801" spans="1:25" ht="15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6"/>
      <c r="T801" s="6"/>
      <c r="U801" s="6"/>
      <c r="V801" s="6"/>
      <c r="W801" s="6"/>
      <c r="X801" s="6"/>
      <c r="Y801" s="6"/>
    </row>
    <row r="802" spans="1:25" ht="15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6"/>
      <c r="T802" s="6"/>
      <c r="U802" s="6"/>
      <c r="V802" s="6"/>
      <c r="W802" s="6"/>
      <c r="X802" s="6"/>
      <c r="Y802" s="6"/>
    </row>
    <row r="803" spans="1:25" ht="15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6"/>
      <c r="T803" s="6"/>
      <c r="U803" s="6"/>
      <c r="V803" s="6"/>
      <c r="W803" s="6"/>
      <c r="X803" s="6"/>
      <c r="Y803" s="6"/>
    </row>
    <row r="804" spans="1:25" ht="15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6"/>
      <c r="T804" s="6"/>
      <c r="U804" s="6"/>
      <c r="V804" s="6"/>
      <c r="W804" s="6"/>
      <c r="X804" s="6"/>
      <c r="Y804" s="6"/>
    </row>
    <row r="805" spans="1:25" ht="15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6"/>
      <c r="T805" s="6"/>
      <c r="U805" s="6"/>
      <c r="V805" s="6"/>
      <c r="W805" s="6"/>
      <c r="X805" s="6"/>
      <c r="Y805" s="6"/>
    </row>
    <row r="806" spans="1:25" ht="15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6"/>
      <c r="T806" s="6"/>
      <c r="U806" s="6"/>
      <c r="V806" s="6"/>
      <c r="W806" s="6"/>
      <c r="X806" s="6"/>
      <c r="Y806" s="6"/>
    </row>
    <row r="807" spans="1:25" ht="15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6"/>
      <c r="T807" s="6"/>
      <c r="U807" s="6"/>
      <c r="V807" s="6"/>
      <c r="W807" s="6"/>
      <c r="X807" s="6"/>
      <c r="Y807" s="6"/>
    </row>
    <row r="808" spans="1:25" ht="15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6"/>
      <c r="T808" s="6"/>
      <c r="U808" s="6"/>
      <c r="V808" s="6"/>
      <c r="W808" s="6"/>
      <c r="X808" s="6"/>
      <c r="Y808" s="6"/>
    </row>
    <row r="809" spans="1:25" ht="15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6"/>
      <c r="T809" s="6"/>
      <c r="U809" s="6"/>
      <c r="V809" s="6"/>
      <c r="W809" s="6"/>
      <c r="X809" s="6"/>
      <c r="Y809" s="6"/>
    </row>
    <row r="810" spans="1:25" ht="15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6"/>
      <c r="T810" s="6"/>
      <c r="U810" s="6"/>
      <c r="V810" s="6"/>
      <c r="W810" s="6"/>
      <c r="X810" s="6"/>
      <c r="Y810" s="6"/>
    </row>
    <row r="811" spans="1:25" ht="15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6"/>
      <c r="T811" s="6"/>
      <c r="U811" s="6"/>
      <c r="V811" s="6"/>
      <c r="W811" s="6"/>
      <c r="X811" s="6"/>
      <c r="Y811" s="6"/>
    </row>
    <row r="812" spans="1:25" ht="15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6"/>
      <c r="T812" s="6"/>
      <c r="U812" s="6"/>
      <c r="V812" s="6"/>
      <c r="W812" s="6"/>
      <c r="X812" s="6"/>
      <c r="Y812" s="6"/>
    </row>
    <row r="813" spans="1:25" ht="15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6"/>
      <c r="T813" s="6"/>
      <c r="U813" s="6"/>
      <c r="V813" s="6"/>
      <c r="W813" s="6"/>
      <c r="X813" s="6"/>
      <c r="Y813" s="6"/>
    </row>
    <row r="814" spans="1:25" ht="15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6"/>
      <c r="T814" s="6"/>
      <c r="U814" s="6"/>
      <c r="V814" s="6"/>
      <c r="W814" s="6"/>
      <c r="X814" s="6"/>
      <c r="Y814" s="6"/>
    </row>
    <row r="815" spans="1:25" ht="15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6"/>
      <c r="T815" s="6"/>
      <c r="U815" s="6"/>
      <c r="V815" s="6"/>
      <c r="W815" s="6"/>
      <c r="X815" s="6"/>
      <c r="Y815" s="6"/>
    </row>
    <row r="816" spans="1:25" ht="15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6"/>
      <c r="T816" s="6"/>
      <c r="U816" s="6"/>
      <c r="V816" s="6"/>
      <c r="W816" s="6"/>
      <c r="X816" s="6"/>
      <c r="Y816" s="6"/>
    </row>
    <row r="817" spans="1:25" ht="15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6"/>
      <c r="T817" s="6"/>
      <c r="U817" s="6"/>
      <c r="V817" s="6"/>
      <c r="W817" s="6"/>
      <c r="X817" s="6"/>
      <c r="Y817" s="6"/>
    </row>
    <row r="818" spans="1:25" ht="15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6"/>
      <c r="T818" s="6"/>
      <c r="U818" s="6"/>
      <c r="V818" s="6"/>
      <c r="W818" s="6"/>
      <c r="X818" s="6"/>
      <c r="Y818" s="6"/>
    </row>
    <row r="819" spans="1:25" ht="15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6"/>
      <c r="T819" s="6"/>
      <c r="U819" s="6"/>
      <c r="V819" s="6"/>
      <c r="W819" s="6"/>
      <c r="X819" s="6"/>
      <c r="Y819" s="6"/>
    </row>
    <row r="820" spans="1:25" ht="15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6"/>
      <c r="T820" s="6"/>
      <c r="U820" s="6"/>
      <c r="V820" s="6"/>
      <c r="W820" s="6"/>
      <c r="X820" s="6"/>
      <c r="Y820" s="6"/>
    </row>
    <row r="821" spans="1:25" ht="15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6"/>
      <c r="T821" s="6"/>
      <c r="U821" s="6"/>
      <c r="V821" s="6"/>
      <c r="W821" s="6"/>
      <c r="X821" s="6"/>
      <c r="Y821" s="6"/>
    </row>
    <row r="822" spans="1:25" ht="15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6"/>
      <c r="T822" s="6"/>
      <c r="U822" s="6"/>
      <c r="V822" s="6"/>
      <c r="W822" s="6"/>
      <c r="X822" s="6"/>
      <c r="Y822" s="6"/>
    </row>
    <row r="823" spans="1:25" ht="15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6"/>
      <c r="T823" s="6"/>
      <c r="U823" s="6"/>
      <c r="V823" s="6"/>
      <c r="W823" s="6"/>
      <c r="X823" s="6"/>
      <c r="Y823" s="6"/>
    </row>
    <row r="824" spans="1:25" ht="15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6"/>
      <c r="T824" s="6"/>
      <c r="U824" s="6"/>
      <c r="V824" s="6"/>
      <c r="W824" s="6"/>
      <c r="X824" s="6"/>
      <c r="Y824" s="6"/>
    </row>
    <row r="825" spans="1:25" ht="15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6"/>
      <c r="T825" s="6"/>
      <c r="U825" s="6"/>
      <c r="V825" s="6"/>
      <c r="W825" s="6"/>
      <c r="X825" s="6"/>
      <c r="Y825" s="6"/>
    </row>
    <row r="826" spans="1:25" ht="15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6"/>
      <c r="T826" s="6"/>
      <c r="U826" s="6"/>
      <c r="V826" s="6"/>
      <c r="W826" s="6"/>
      <c r="X826" s="6"/>
      <c r="Y826" s="6"/>
    </row>
    <row r="827" spans="1:25" ht="15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6"/>
      <c r="T827" s="6"/>
      <c r="U827" s="6"/>
      <c r="V827" s="6"/>
      <c r="W827" s="6"/>
      <c r="X827" s="6"/>
      <c r="Y827" s="6"/>
    </row>
    <row r="828" spans="1:25" ht="15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6"/>
      <c r="T828" s="6"/>
      <c r="U828" s="6"/>
      <c r="V828" s="6"/>
      <c r="W828" s="6"/>
      <c r="X828" s="6"/>
      <c r="Y828" s="6"/>
    </row>
    <row r="829" spans="1:25" ht="15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6"/>
      <c r="T829" s="6"/>
      <c r="U829" s="6"/>
      <c r="V829" s="6"/>
      <c r="W829" s="6"/>
      <c r="X829" s="6"/>
      <c r="Y829" s="6"/>
    </row>
    <row r="830" spans="1:25" ht="15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6"/>
      <c r="T830" s="6"/>
      <c r="U830" s="6"/>
      <c r="V830" s="6"/>
      <c r="W830" s="6"/>
      <c r="X830" s="6"/>
      <c r="Y830" s="6"/>
    </row>
    <row r="831" spans="1:25" ht="15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6"/>
      <c r="T831" s="6"/>
      <c r="U831" s="6"/>
      <c r="V831" s="6"/>
      <c r="W831" s="6"/>
      <c r="X831" s="6"/>
      <c r="Y831" s="6"/>
    </row>
    <row r="832" spans="1:25" ht="15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6"/>
      <c r="T832" s="6"/>
      <c r="U832" s="6"/>
      <c r="V832" s="6"/>
      <c r="W832" s="6"/>
      <c r="X832" s="6"/>
      <c r="Y832" s="6"/>
    </row>
    <row r="833" spans="1:25" ht="15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6"/>
      <c r="T833" s="6"/>
      <c r="U833" s="6"/>
      <c r="V833" s="6"/>
      <c r="W833" s="6"/>
      <c r="X833" s="6"/>
      <c r="Y833" s="6"/>
    </row>
    <row r="834" spans="1:25" ht="15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6"/>
      <c r="T834" s="6"/>
      <c r="U834" s="6"/>
      <c r="V834" s="6"/>
      <c r="W834" s="6"/>
      <c r="X834" s="6"/>
      <c r="Y834" s="6"/>
    </row>
    <row r="835" spans="1:25" ht="15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6"/>
      <c r="T835" s="6"/>
      <c r="U835" s="6"/>
      <c r="V835" s="6"/>
      <c r="W835" s="6"/>
      <c r="X835" s="6"/>
      <c r="Y835" s="6"/>
    </row>
    <row r="836" spans="1:25" ht="15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6"/>
      <c r="T836" s="6"/>
      <c r="U836" s="6"/>
      <c r="V836" s="6"/>
      <c r="W836" s="6"/>
      <c r="X836" s="6"/>
      <c r="Y836" s="6"/>
    </row>
    <row r="837" spans="1:25" ht="15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6"/>
      <c r="T837" s="6"/>
      <c r="U837" s="6"/>
      <c r="V837" s="6"/>
      <c r="W837" s="6"/>
      <c r="X837" s="6"/>
      <c r="Y837" s="6"/>
    </row>
    <row r="838" spans="1:25" ht="15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6"/>
      <c r="T838" s="6"/>
      <c r="U838" s="6"/>
      <c r="V838" s="6"/>
      <c r="W838" s="6"/>
      <c r="X838" s="6"/>
      <c r="Y838" s="6"/>
    </row>
    <row r="839" spans="1:25" ht="15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6"/>
      <c r="T839" s="6"/>
      <c r="U839" s="6"/>
      <c r="V839" s="6"/>
      <c r="W839" s="6"/>
      <c r="X839" s="6"/>
      <c r="Y839" s="6"/>
    </row>
    <row r="840" spans="1:25" ht="15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6"/>
      <c r="T840" s="6"/>
      <c r="U840" s="6"/>
      <c r="V840" s="6"/>
      <c r="W840" s="6"/>
      <c r="X840" s="6"/>
      <c r="Y840" s="6"/>
    </row>
    <row r="841" spans="1:25" ht="15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6"/>
      <c r="T841" s="6"/>
      <c r="U841" s="6"/>
      <c r="V841" s="6"/>
      <c r="W841" s="6"/>
      <c r="X841" s="6"/>
      <c r="Y841" s="6"/>
    </row>
    <row r="842" spans="1:25" ht="15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6"/>
      <c r="T842" s="6"/>
      <c r="U842" s="6"/>
      <c r="V842" s="6"/>
      <c r="W842" s="6"/>
      <c r="X842" s="6"/>
      <c r="Y842" s="6"/>
    </row>
    <row r="843" spans="1:25" ht="15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6"/>
      <c r="T843" s="6"/>
      <c r="U843" s="6"/>
      <c r="V843" s="6"/>
      <c r="W843" s="6"/>
      <c r="X843" s="6"/>
      <c r="Y843" s="6"/>
    </row>
    <row r="844" spans="1:25" ht="15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6"/>
      <c r="T844" s="6"/>
      <c r="U844" s="6"/>
      <c r="V844" s="6"/>
      <c r="W844" s="6"/>
      <c r="X844" s="6"/>
      <c r="Y844" s="6"/>
    </row>
    <row r="845" spans="1:25" ht="15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6"/>
      <c r="T845" s="6"/>
      <c r="U845" s="6"/>
      <c r="V845" s="6"/>
      <c r="W845" s="6"/>
      <c r="X845" s="6"/>
      <c r="Y845" s="6"/>
    </row>
    <row r="846" spans="1:25" ht="15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6"/>
      <c r="T846" s="6"/>
      <c r="U846" s="6"/>
      <c r="V846" s="6"/>
      <c r="W846" s="6"/>
      <c r="X846" s="6"/>
      <c r="Y846" s="6"/>
    </row>
    <row r="847" spans="1:25" ht="15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6"/>
      <c r="T847" s="6"/>
      <c r="U847" s="6"/>
      <c r="V847" s="6"/>
      <c r="W847" s="6"/>
      <c r="X847" s="6"/>
      <c r="Y847" s="6"/>
    </row>
    <row r="848" spans="1:25" ht="15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6"/>
      <c r="T848" s="6"/>
      <c r="U848" s="6"/>
      <c r="V848" s="6"/>
      <c r="W848" s="6"/>
      <c r="X848" s="6"/>
      <c r="Y848" s="6"/>
    </row>
    <row r="849" spans="1:25" ht="15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6"/>
      <c r="T849" s="6"/>
      <c r="U849" s="6"/>
      <c r="V849" s="6"/>
      <c r="W849" s="6"/>
      <c r="X849" s="6"/>
      <c r="Y849" s="6"/>
    </row>
    <row r="850" spans="1:25" ht="15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6"/>
      <c r="T850" s="6"/>
      <c r="U850" s="6"/>
      <c r="V850" s="6"/>
      <c r="W850" s="6"/>
      <c r="X850" s="6"/>
      <c r="Y850" s="6"/>
    </row>
    <row r="851" spans="1:25" ht="15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6"/>
      <c r="T851" s="6"/>
      <c r="U851" s="6"/>
      <c r="V851" s="6"/>
      <c r="W851" s="6"/>
      <c r="X851" s="6"/>
      <c r="Y851" s="6"/>
    </row>
    <row r="852" spans="1:25" ht="15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6"/>
      <c r="T852" s="6"/>
      <c r="U852" s="6"/>
      <c r="V852" s="6"/>
      <c r="W852" s="6"/>
      <c r="X852" s="6"/>
      <c r="Y852" s="6"/>
    </row>
    <row r="853" spans="1:25" ht="15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6"/>
      <c r="T853" s="6"/>
      <c r="U853" s="6"/>
      <c r="V853" s="6"/>
      <c r="W853" s="6"/>
      <c r="X853" s="6"/>
      <c r="Y853" s="6"/>
    </row>
    <row r="854" spans="1:25" ht="15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6"/>
      <c r="T854" s="6"/>
      <c r="U854" s="6"/>
      <c r="V854" s="6"/>
      <c r="W854" s="6"/>
      <c r="X854" s="6"/>
      <c r="Y854" s="6"/>
    </row>
    <row r="855" spans="1:25" ht="15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6"/>
      <c r="T855" s="6"/>
      <c r="U855" s="6"/>
      <c r="V855" s="6"/>
      <c r="W855" s="6"/>
      <c r="X855" s="6"/>
      <c r="Y855" s="6"/>
    </row>
    <row r="856" spans="1:25" ht="15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6"/>
      <c r="T856" s="6"/>
      <c r="U856" s="6"/>
      <c r="V856" s="6"/>
      <c r="W856" s="6"/>
      <c r="X856" s="6"/>
      <c r="Y856" s="6"/>
    </row>
    <row r="857" spans="1:25" ht="15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6"/>
      <c r="T857" s="6"/>
      <c r="U857" s="6"/>
      <c r="V857" s="6"/>
      <c r="W857" s="6"/>
      <c r="X857" s="6"/>
      <c r="Y857" s="6"/>
    </row>
    <row r="858" spans="1:25" ht="15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6"/>
      <c r="T858" s="6"/>
      <c r="U858" s="6"/>
      <c r="V858" s="6"/>
      <c r="W858" s="6"/>
      <c r="X858" s="6"/>
      <c r="Y858" s="6"/>
    </row>
    <row r="859" spans="1:25" ht="15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6"/>
      <c r="T859" s="6"/>
      <c r="U859" s="6"/>
      <c r="V859" s="6"/>
      <c r="W859" s="6"/>
      <c r="X859" s="6"/>
      <c r="Y859" s="6"/>
    </row>
    <row r="860" spans="1:25" ht="15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6"/>
      <c r="T860" s="6"/>
      <c r="U860" s="6"/>
      <c r="V860" s="6"/>
      <c r="W860" s="6"/>
      <c r="X860" s="6"/>
      <c r="Y860" s="6"/>
    </row>
    <row r="861" spans="1:25" ht="15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6"/>
      <c r="T861" s="6"/>
      <c r="U861" s="6"/>
      <c r="V861" s="6"/>
      <c r="W861" s="6"/>
      <c r="X861" s="6"/>
      <c r="Y861" s="6"/>
    </row>
    <row r="862" spans="1:25" ht="15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6"/>
      <c r="T862" s="6"/>
      <c r="U862" s="6"/>
      <c r="V862" s="6"/>
      <c r="W862" s="6"/>
      <c r="X862" s="6"/>
      <c r="Y862" s="6"/>
    </row>
    <row r="863" spans="1:25" ht="15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6"/>
      <c r="T863" s="6"/>
      <c r="U863" s="6"/>
      <c r="V863" s="6"/>
      <c r="W863" s="6"/>
      <c r="X863" s="6"/>
      <c r="Y863" s="6"/>
    </row>
    <row r="864" spans="1:25" ht="15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6"/>
      <c r="T864" s="6"/>
      <c r="U864" s="6"/>
      <c r="V864" s="6"/>
      <c r="W864" s="6"/>
      <c r="X864" s="6"/>
      <c r="Y864" s="6"/>
    </row>
    <row r="865" spans="1:25" ht="15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6"/>
      <c r="T865" s="6"/>
      <c r="U865" s="6"/>
      <c r="V865" s="6"/>
      <c r="W865" s="6"/>
      <c r="X865" s="6"/>
      <c r="Y865" s="6"/>
    </row>
    <row r="866" spans="1:25" ht="15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6"/>
      <c r="T866" s="6"/>
      <c r="U866" s="6"/>
      <c r="V866" s="6"/>
      <c r="W866" s="6"/>
      <c r="X866" s="6"/>
      <c r="Y866" s="6"/>
    </row>
    <row r="867" spans="1:25" ht="15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6"/>
      <c r="T867" s="6"/>
      <c r="U867" s="6"/>
      <c r="V867" s="6"/>
      <c r="W867" s="6"/>
      <c r="X867" s="6"/>
      <c r="Y867" s="6"/>
    </row>
    <row r="868" spans="1:25" ht="15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6"/>
      <c r="T868" s="6"/>
      <c r="U868" s="6"/>
      <c r="V868" s="6"/>
      <c r="W868" s="6"/>
      <c r="X868" s="6"/>
      <c r="Y868" s="6"/>
    </row>
    <row r="869" spans="1:25" ht="15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6"/>
      <c r="T869" s="6"/>
      <c r="U869" s="6"/>
      <c r="V869" s="6"/>
      <c r="W869" s="6"/>
      <c r="X869" s="6"/>
      <c r="Y869" s="6"/>
    </row>
    <row r="870" spans="1:25" ht="15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6"/>
      <c r="T870" s="6"/>
      <c r="U870" s="6"/>
      <c r="V870" s="6"/>
      <c r="W870" s="6"/>
      <c r="X870" s="6"/>
      <c r="Y870" s="6"/>
    </row>
    <row r="871" spans="1:25" ht="15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6"/>
      <c r="T871" s="6"/>
      <c r="U871" s="6"/>
      <c r="V871" s="6"/>
      <c r="W871" s="6"/>
      <c r="X871" s="6"/>
      <c r="Y871" s="6"/>
    </row>
    <row r="872" spans="1:25" ht="15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6"/>
      <c r="T872" s="6"/>
      <c r="U872" s="6"/>
      <c r="V872" s="6"/>
      <c r="W872" s="6"/>
      <c r="X872" s="6"/>
      <c r="Y872" s="6"/>
    </row>
    <row r="873" spans="1:25" ht="15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6"/>
      <c r="T873" s="6"/>
      <c r="U873" s="6"/>
      <c r="V873" s="6"/>
      <c r="W873" s="6"/>
      <c r="X873" s="6"/>
      <c r="Y873" s="6"/>
    </row>
    <row r="874" spans="1:25" ht="15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6"/>
      <c r="T874" s="6"/>
      <c r="U874" s="6"/>
      <c r="V874" s="6"/>
      <c r="W874" s="6"/>
      <c r="X874" s="6"/>
      <c r="Y874" s="6"/>
    </row>
    <row r="875" spans="1:25" ht="15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6"/>
      <c r="T875" s="6"/>
      <c r="U875" s="6"/>
      <c r="V875" s="6"/>
      <c r="W875" s="6"/>
      <c r="X875" s="6"/>
      <c r="Y875" s="6"/>
    </row>
    <row r="876" spans="1:25" ht="15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6"/>
      <c r="T876" s="6"/>
      <c r="U876" s="6"/>
      <c r="V876" s="6"/>
      <c r="W876" s="6"/>
      <c r="X876" s="6"/>
      <c r="Y876" s="6"/>
    </row>
    <row r="877" spans="1:25" ht="15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6"/>
      <c r="T877" s="6"/>
      <c r="U877" s="6"/>
      <c r="V877" s="6"/>
      <c r="W877" s="6"/>
      <c r="X877" s="6"/>
      <c r="Y877" s="6"/>
    </row>
    <row r="878" spans="1:25" ht="15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6"/>
      <c r="T878" s="6"/>
      <c r="U878" s="6"/>
      <c r="V878" s="6"/>
      <c r="W878" s="6"/>
      <c r="X878" s="6"/>
      <c r="Y878" s="6"/>
    </row>
    <row r="879" spans="1:25" ht="15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6"/>
      <c r="T879" s="6"/>
      <c r="U879" s="6"/>
      <c r="V879" s="6"/>
      <c r="W879" s="6"/>
      <c r="X879" s="6"/>
      <c r="Y879" s="6"/>
    </row>
    <row r="880" spans="1:25" ht="15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6"/>
      <c r="T880" s="6"/>
      <c r="U880" s="6"/>
      <c r="V880" s="6"/>
      <c r="W880" s="6"/>
      <c r="X880" s="6"/>
      <c r="Y880" s="6"/>
    </row>
    <row r="881" spans="1:25" ht="15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6"/>
      <c r="T881" s="6"/>
      <c r="U881" s="6"/>
      <c r="V881" s="6"/>
      <c r="W881" s="6"/>
      <c r="X881" s="6"/>
      <c r="Y881" s="6"/>
    </row>
    <row r="882" spans="1:25" ht="15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6"/>
      <c r="T882" s="6"/>
      <c r="U882" s="6"/>
      <c r="V882" s="6"/>
      <c r="W882" s="6"/>
      <c r="X882" s="6"/>
      <c r="Y882" s="6"/>
    </row>
    <row r="883" spans="1:25" ht="15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6"/>
      <c r="T883" s="6"/>
      <c r="U883" s="6"/>
      <c r="V883" s="6"/>
      <c r="W883" s="6"/>
      <c r="X883" s="6"/>
      <c r="Y883" s="6"/>
    </row>
    <row r="884" spans="1:25" ht="15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6"/>
      <c r="T884" s="6"/>
      <c r="U884" s="6"/>
      <c r="V884" s="6"/>
      <c r="W884" s="6"/>
      <c r="X884" s="6"/>
      <c r="Y884" s="6"/>
    </row>
    <row r="885" spans="1:25" ht="15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6"/>
      <c r="T885" s="6"/>
      <c r="U885" s="6"/>
      <c r="V885" s="6"/>
      <c r="W885" s="6"/>
      <c r="X885" s="6"/>
      <c r="Y885" s="6"/>
    </row>
    <row r="886" spans="1:25" ht="15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6"/>
      <c r="T886" s="6"/>
      <c r="U886" s="6"/>
      <c r="V886" s="6"/>
      <c r="W886" s="6"/>
      <c r="X886" s="6"/>
      <c r="Y886" s="6"/>
    </row>
    <row r="887" spans="1:25" ht="15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6"/>
      <c r="T887" s="6"/>
      <c r="U887" s="6"/>
      <c r="V887" s="6"/>
      <c r="W887" s="6"/>
      <c r="X887" s="6"/>
      <c r="Y887" s="6"/>
    </row>
    <row r="888" spans="1:25" ht="15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6"/>
      <c r="T888" s="6"/>
      <c r="U888" s="6"/>
      <c r="V888" s="6"/>
      <c r="W888" s="6"/>
      <c r="X888" s="6"/>
      <c r="Y888" s="6"/>
    </row>
    <row r="889" spans="1:25" ht="15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6"/>
      <c r="T889" s="6"/>
      <c r="U889" s="6"/>
      <c r="V889" s="6"/>
      <c r="W889" s="6"/>
      <c r="X889" s="6"/>
      <c r="Y889" s="6"/>
    </row>
    <row r="890" spans="1:25" ht="15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6"/>
      <c r="T890" s="6"/>
      <c r="U890" s="6"/>
      <c r="V890" s="6"/>
      <c r="W890" s="6"/>
      <c r="X890" s="6"/>
      <c r="Y890" s="6"/>
    </row>
    <row r="891" spans="1:25" ht="15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6"/>
      <c r="T891" s="6"/>
      <c r="U891" s="6"/>
      <c r="V891" s="6"/>
      <c r="W891" s="6"/>
      <c r="X891" s="6"/>
      <c r="Y891" s="6"/>
    </row>
    <row r="892" spans="1:25" ht="15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6"/>
      <c r="T892" s="6"/>
      <c r="U892" s="6"/>
      <c r="V892" s="6"/>
      <c r="W892" s="6"/>
      <c r="X892" s="6"/>
      <c r="Y892" s="6"/>
    </row>
    <row r="893" spans="1:25" ht="15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6"/>
      <c r="T893" s="6"/>
      <c r="U893" s="6"/>
      <c r="V893" s="6"/>
      <c r="W893" s="6"/>
      <c r="X893" s="6"/>
      <c r="Y893" s="6"/>
    </row>
    <row r="894" spans="1:25" ht="15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6"/>
      <c r="T894" s="6"/>
      <c r="U894" s="6"/>
      <c r="V894" s="6"/>
      <c r="W894" s="6"/>
      <c r="X894" s="6"/>
      <c r="Y894" s="6"/>
    </row>
    <row r="895" spans="1:25" ht="15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6"/>
      <c r="T895" s="6"/>
      <c r="U895" s="6"/>
      <c r="V895" s="6"/>
      <c r="W895" s="6"/>
      <c r="X895" s="6"/>
      <c r="Y895" s="6"/>
    </row>
    <row r="896" spans="1:25" ht="15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6"/>
      <c r="T896" s="6"/>
      <c r="U896" s="6"/>
      <c r="V896" s="6"/>
      <c r="W896" s="6"/>
      <c r="X896" s="6"/>
      <c r="Y896" s="6"/>
    </row>
    <row r="897" spans="1:25" ht="15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6"/>
      <c r="T897" s="6"/>
      <c r="U897" s="6"/>
      <c r="V897" s="6"/>
      <c r="W897" s="6"/>
      <c r="X897" s="6"/>
      <c r="Y897" s="6"/>
    </row>
    <row r="898" spans="1:25" ht="15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6"/>
      <c r="T898" s="6"/>
      <c r="U898" s="6"/>
      <c r="V898" s="6"/>
      <c r="W898" s="6"/>
      <c r="X898" s="6"/>
      <c r="Y898" s="6"/>
    </row>
    <row r="899" spans="1:25" ht="15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6"/>
      <c r="T899" s="6"/>
      <c r="U899" s="6"/>
      <c r="V899" s="6"/>
      <c r="W899" s="6"/>
      <c r="X899" s="6"/>
      <c r="Y899" s="6"/>
    </row>
    <row r="900" spans="1:25" ht="15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6"/>
      <c r="T900" s="6"/>
      <c r="U900" s="6"/>
      <c r="V900" s="6"/>
      <c r="W900" s="6"/>
      <c r="X900" s="6"/>
      <c r="Y900" s="6"/>
    </row>
    <row r="901" spans="1:25" ht="15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6"/>
      <c r="T901" s="6"/>
      <c r="U901" s="6"/>
      <c r="V901" s="6"/>
      <c r="W901" s="6"/>
      <c r="X901" s="6"/>
      <c r="Y901" s="6"/>
    </row>
    <row r="902" spans="1:25" ht="15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6"/>
      <c r="T902" s="6"/>
      <c r="U902" s="6"/>
      <c r="V902" s="6"/>
      <c r="W902" s="6"/>
      <c r="X902" s="6"/>
      <c r="Y902" s="6"/>
    </row>
    <row r="903" spans="1:25" ht="15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6"/>
      <c r="T903" s="6"/>
      <c r="U903" s="6"/>
      <c r="V903" s="6"/>
      <c r="W903" s="6"/>
      <c r="X903" s="6"/>
      <c r="Y903" s="6"/>
    </row>
    <row r="904" spans="1:25" ht="15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6"/>
      <c r="T904" s="6"/>
      <c r="U904" s="6"/>
      <c r="V904" s="6"/>
      <c r="W904" s="6"/>
      <c r="X904" s="6"/>
      <c r="Y904" s="6"/>
    </row>
    <row r="905" spans="1:25" ht="15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6"/>
      <c r="T905" s="6"/>
      <c r="U905" s="6"/>
      <c r="V905" s="6"/>
      <c r="W905" s="6"/>
      <c r="X905" s="6"/>
      <c r="Y905" s="6"/>
    </row>
    <row r="906" spans="1:25" ht="15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6"/>
      <c r="T906" s="6"/>
      <c r="U906" s="6"/>
      <c r="V906" s="6"/>
      <c r="W906" s="6"/>
      <c r="X906" s="6"/>
      <c r="Y906" s="6"/>
    </row>
    <row r="907" spans="1:25" ht="15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6"/>
      <c r="T907" s="6"/>
      <c r="U907" s="6"/>
      <c r="V907" s="6"/>
      <c r="W907" s="6"/>
      <c r="X907" s="6"/>
      <c r="Y907" s="6"/>
    </row>
    <row r="908" spans="1:25" ht="15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6"/>
      <c r="T908" s="6"/>
      <c r="U908" s="6"/>
      <c r="V908" s="6"/>
      <c r="W908" s="6"/>
      <c r="X908" s="6"/>
      <c r="Y908" s="6"/>
    </row>
    <row r="909" spans="1:25" ht="15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6"/>
      <c r="T909" s="6"/>
      <c r="U909" s="6"/>
      <c r="V909" s="6"/>
      <c r="W909" s="6"/>
      <c r="X909" s="6"/>
      <c r="Y909" s="6"/>
    </row>
    <row r="910" spans="1:25" ht="15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6"/>
      <c r="T910" s="6"/>
      <c r="U910" s="6"/>
      <c r="V910" s="6"/>
      <c r="W910" s="6"/>
      <c r="X910" s="6"/>
      <c r="Y910" s="6"/>
    </row>
    <row r="911" spans="1:25" ht="15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6"/>
      <c r="T911" s="6"/>
      <c r="U911" s="6"/>
      <c r="V911" s="6"/>
      <c r="W911" s="6"/>
      <c r="X911" s="6"/>
      <c r="Y911" s="6"/>
    </row>
    <row r="912" spans="1:25" ht="15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6"/>
      <c r="T912" s="6"/>
      <c r="U912" s="6"/>
      <c r="V912" s="6"/>
      <c r="W912" s="6"/>
      <c r="X912" s="6"/>
      <c r="Y912" s="6"/>
    </row>
    <row r="913" spans="1:25" ht="15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6"/>
      <c r="T913" s="6"/>
      <c r="U913" s="6"/>
      <c r="V913" s="6"/>
      <c r="W913" s="6"/>
      <c r="X913" s="6"/>
      <c r="Y913" s="6"/>
    </row>
    <row r="914" spans="1:25" ht="15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6"/>
      <c r="T914" s="6"/>
      <c r="U914" s="6"/>
      <c r="V914" s="6"/>
      <c r="W914" s="6"/>
      <c r="X914" s="6"/>
      <c r="Y914" s="6"/>
    </row>
    <row r="915" spans="1:25" ht="15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6"/>
      <c r="T915" s="6"/>
      <c r="U915" s="6"/>
      <c r="V915" s="6"/>
      <c r="W915" s="6"/>
      <c r="X915" s="6"/>
      <c r="Y915" s="6"/>
    </row>
    <row r="916" spans="1:25" ht="15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6"/>
      <c r="T916" s="6"/>
      <c r="U916" s="6"/>
      <c r="V916" s="6"/>
      <c r="W916" s="6"/>
      <c r="X916" s="6"/>
      <c r="Y916" s="6"/>
    </row>
    <row r="917" spans="1:25" ht="15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6"/>
      <c r="T917" s="6"/>
      <c r="U917" s="6"/>
      <c r="V917" s="6"/>
      <c r="W917" s="6"/>
      <c r="X917" s="6"/>
      <c r="Y917" s="6"/>
    </row>
    <row r="918" spans="1:25" ht="15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6"/>
      <c r="T918" s="6"/>
      <c r="U918" s="6"/>
      <c r="V918" s="6"/>
      <c r="W918" s="6"/>
      <c r="X918" s="6"/>
      <c r="Y918" s="6"/>
    </row>
    <row r="919" spans="1:25" ht="15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6"/>
      <c r="T919" s="6"/>
      <c r="U919" s="6"/>
      <c r="V919" s="6"/>
      <c r="W919" s="6"/>
      <c r="X919" s="6"/>
      <c r="Y919" s="6"/>
    </row>
    <row r="920" spans="1:25" ht="15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6"/>
      <c r="T920" s="6"/>
      <c r="U920" s="6"/>
      <c r="V920" s="6"/>
      <c r="W920" s="6"/>
      <c r="X920" s="6"/>
      <c r="Y920" s="6"/>
    </row>
    <row r="921" spans="1:25" ht="15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6"/>
      <c r="T921" s="6"/>
      <c r="U921" s="6"/>
      <c r="V921" s="6"/>
      <c r="W921" s="6"/>
      <c r="X921" s="6"/>
      <c r="Y921" s="6"/>
    </row>
    <row r="922" spans="1:25" ht="15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6"/>
      <c r="T922" s="6"/>
      <c r="U922" s="6"/>
      <c r="V922" s="6"/>
      <c r="W922" s="6"/>
      <c r="X922" s="6"/>
      <c r="Y922" s="6"/>
    </row>
    <row r="923" spans="1:25" ht="15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6"/>
      <c r="T923" s="6"/>
      <c r="U923" s="6"/>
      <c r="V923" s="6"/>
      <c r="W923" s="6"/>
      <c r="X923" s="6"/>
      <c r="Y923" s="6"/>
    </row>
    <row r="924" spans="1:25" ht="15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6"/>
      <c r="T924" s="6"/>
      <c r="U924" s="6"/>
      <c r="V924" s="6"/>
      <c r="W924" s="6"/>
      <c r="X924" s="6"/>
      <c r="Y924" s="6"/>
    </row>
    <row r="925" spans="1:25" ht="15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6"/>
      <c r="T925" s="6"/>
      <c r="U925" s="6"/>
      <c r="V925" s="6"/>
      <c r="W925" s="6"/>
      <c r="X925" s="6"/>
      <c r="Y925" s="6"/>
    </row>
    <row r="926" spans="1:25" ht="15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6"/>
      <c r="T926" s="6"/>
      <c r="U926" s="6"/>
      <c r="V926" s="6"/>
      <c r="W926" s="6"/>
      <c r="X926" s="6"/>
      <c r="Y926" s="6"/>
    </row>
    <row r="927" spans="1:25" ht="15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6"/>
      <c r="T927" s="6"/>
      <c r="U927" s="6"/>
      <c r="V927" s="6"/>
      <c r="W927" s="6"/>
      <c r="X927" s="6"/>
      <c r="Y927" s="6"/>
    </row>
    <row r="928" spans="1:25" ht="15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6"/>
      <c r="T928" s="6"/>
      <c r="U928" s="6"/>
      <c r="V928" s="6"/>
      <c r="W928" s="6"/>
      <c r="X928" s="6"/>
      <c r="Y928" s="6"/>
    </row>
    <row r="929" spans="1:25" ht="15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6"/>
      <c r="T929" s="6"/>
      <c r="U929" s="6"/>
      <c r="V929" s="6"/>
      <c r="W929" s="6"/>
      <c r="X929" s="6"/>
      <c r="Y929" s="6"/>
    </row>
    <row r="930" spans="1:25" ht="15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6"/>
      <c r="T930" s="6"/>
      <c r="U930" s="6"/>
      <c r="V930" s="6"/>
      <c r="W930" s="6"/>
      <c r="X930" s="6"/>
      <c r="Y930" s="6"/>
    </row>
    <row r="931" spans="1:25" ht="15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6"/>
      <c r="T931" s="6"/>
      <c r="U931" s="6"/>
      <c r="V931" s="6"/>
      <c r="W931" s="6"/>
      <c r="X931" s="6"/>
      <c r="Y931" s="6"/>
    </row>
    <row r="932" spans="1:25" ht="15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6"/>
      <c r="T932" s="6"/>
      <c r="U932" s="6"/>
      <c r="V932" s="6"/>
      <c r="W932" s="6"/>
      <c r="X932" s="6"/>
      <c r="Y932" s="6"/>
    </row>
    <row r="933" spans="1:25" ht="15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6"/>
      <c r="T933" s="6"/>
      <c r="U933" s="6"/>
      <c r="V933" s="6"/>
      <c r="W933" s="6"/>
      <c r="X933" s="6"/>
      <c r="Y933" s="6"/>
    </row>
    <row r="934" spans="1:25" ht="15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6"/>
      <c r="T934" s="6"/>
      <c r="U934" s="6"/>
      <c r="V934" s="6"/>
      <c r="W934" s="6"/>
      <c r="X934" s="6"/>
      <c r="Y934" s="6"/>
    </row>
    <row r="935" spans="1:25" ht="15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6"/>
      <c r="T935" s="6"/>
      <c r="U935" s="6"/>
      <c r="V935" s="6"/>
      <c r="W935" s="6"/>
      <c r="X935" s="6"/>
      <c r="Y935" s="6"/>
    </row>
    <row r="936" spans="1:25" ht="15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6"/>
      <c r="T936" s="6"/>
      <c r="U936" s="6"/>
      <c r="V936" s="6"/>
      <c r="W936" s="6"/>
      <c r="X936" s="6"/>
      <c r="Y936" s="6"/>
    </row>
    <row r="937" spans="1:25" ht="15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6"/>
      <c r="T937" s="6"/>
      <c r="U937" s="6"/>
      <c r="V937" s="6"/>
      <c r="W937" s="6"/>
      <c r="X937" s="6"/>
      <c r="Y937" s="6"/>
    </row>
    <row r="938" spans="1:25" ht="15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6"/>
      <c r="T938" s="6"/>
      <c r="U938" s="6"/>
      <c r="V938" s="6"/>
      <c r="W938" s="6"/>
      <c r="X938" s="6"/>
      <c r="Y938" s="6"/>
    </row>
    <row r="939" spans="1:25" ht="15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6"/>
      <c r="T939" s="6"/>
      <c r="U939" s="6"/>
      <c r="V939" s="6"/>
      <c r="W939" s="6"/>
      <c r="X939" s="6"/>
      <c r="Y939" s="6"/>
    </row>
    <row r="940" spans="1:25" ht="15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6"/>
      <c r="T940" s="6"/>
      <c r="U940" s="6"/>
      <c r="V940" s="6"/>
      <c r="W940" s="6"/>
      <c r="X940" s="6"/>
      <c r="Y940" s="6"/>
    </row>
    <row r="941" spans="1:25" ht="15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6"/>
      <c r="T941" s="6"/>
      <c r="U941" s="6"/>
      <c r="V941" s="6"/>
      <c r="W941" s="6"/>
      <c r="X941" s="6"/>
      <c r="Y941" s="6"/>
    </row>
    <row r="942" spans="1:25" ht="15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6"/>
      <c r="T942" s="6"/>
      <c r="U942" s="6"/>
      <c r="V942" s="6"/>
      <c r="W942" s="6"/>
      <c r="X942" s="6"/>
      <c r="Y942" s="6"/>
    </row>
    <row r="943" spans="1:25" ht="15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6"/>
      <c r="T943" s="6"/>
      <c r="U943" s="6"/>
      <c r="V943" s="6"/>
      <c r="W943" s="6"/>
      <c r="X943" s="6"/>
      <c r="Y943" s="6"/>
    </row>
    <row r="944" spans="1:25" ht="15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6"/>
      <c r="T944" s="6"/>
      <c r="U944" s="6"/>
      <c r="V944" s="6"/>
      <c r="W944" s="6"/>
      <c r="X944" s="6"/>
      <c r="Y944" s="6"/>
    </row>
    <row r="945" spans="1:25" ht="15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6"/>
      <c r="T945" s="6"/>
      <c r="U945" s="6"/>
      <c r="V945" s="6"/>
      <c r="W945" s="6"/>
      <c r="X945" s="6"/>
      <c r="Y945" s="6"/>
    </row>
    <row r="946" spans="1:25" ht="15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6"/>
      <c r="T946" s="6"/>
      <c r="U946" s="6"/>
      <c r="V946" s="6"/>
      <c r="W946" s="6"/>
      <c r="X946" s="6"/>
      <c r="Y946" s="6"/>
    </row>
    <row r="947" spans="1:25" ht="15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6"/>
      <c r="T947" s="6"/>
      <c r="U947" s="6"/>
      <c r="V947" s="6"/>
      <c r="W947" s="6"/>
      <c r="X947" s="6"/>
      <c r="Y947" s="6"/>
    </row>
    <row r="948" spans="1:25" ht="15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6"/>
      <c r="T948" s="6"/>
      <c r="U948" s="6"/>
      <c r="V948" s="6"/>
      <c r="W948" s="6"/>
      <c r="X948" s="6"/>
      <c r="Y948" s="6"/>
    </row>
    <row r="949" spans="1:25" ht="15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6"/>
      <c r="T949" s="6"/>
      <c r="U949" s="6"/>
      <c r="V949" s="6"/>
      <c r="W949" s="6"/>
      <c r="X949" s="6"/>
      <c r="Y949" s="6"/>
    </row>
    <row r="950" spans="1:25" ht="15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6"/>
      <c r="T950" s="6"/>
      <c r="U950" s="6"/>
      <c r="V950" s="6"/>
      <c r="W950" s="6"/>
      <c r="X950" s="6"/>
      <c r="Y950" s="6"/>
    </row>
    <row r="951" spans="1:25" ht="15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6"/>
      <c r="T951" s="6"/>
      <c r="U951" s="6"/>
      <c r="V951" s="6"/>
      <c r="W951" s="6"/>
      <c r="X951" s="6"/>
      <c r="Y951" s="6"/>
    </row>
    <row r="952" spans="1:25" ht="15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6"/>
      <c r="T952" s="6"/>
      <c r="U952" s="6"/>
      <c r="V952" s="6"/>
      <c r="W952" s="6"/>
      <c r="X952" s="6"/>
      <c r="Y952" s="6"/>
    </row>
    <row r="953" spans="1:25" ht="15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6"/>
      <c r="T953" s="6"/>
      <c r="U953" s="6"/>
      <c r="V953" s="6"/>
      <c r="W953" s="6"/>
      <c r="X953" s="6"/>
      <c r="Y953" s="6"/>
    </row>
    <row r="954" spans="1:25" ht="15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6"/>
      <c r="T954" s="6"/>
      <c r="U954" s="6"/>
      <c r="V954" s="6"/>
      <c r="W954" s="6"/>
      <c r="X954" s="6"/>
      <c r="Y954" s="6"/>
    </row>
    <row r="955" spans="1:25" ht="15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6"/>
      <c r="T955" s="6"/>
      <c r="U955" s="6"/>
      <c r="V955" s="6"/>
      <c r="W955" s="6"/>
      <c r="X955" s="6"/>
      <c r="Y955" s="6"/>
    </row>
    <row r="956" spans="1:25" ht="15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6"/>
      <c r="T956" s="6"/>
      <c r="U956" s="6"/>
      <c r="V956" s="6"/>
      <c r="W956" s="6"/>
      <c r="X956" s="6"/>
      <c r="Y956" s="6"/>
    </row>
    <row r="957" spans="1:25" ht="15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6"/>
      <c r="T957" s="6"/>
      <c r="U957" s="6"/>
      <c r="V957" s="6"/>
      <c r="W957" s="6"/>
      <c r="X957" s="6"/>
      <c r="Y957" s="6"/>
    </row>
    <row r="958" spans="1:25" ht="15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6"/>
      <c r="T958" s="6"/>
      <c r="U958" s="6"/>
      <c r="V958" s="6"/>
      <c r="W958" s="6"/>
      <c r="X958" s="6"/>
      <c r="Y958" s="6"/>
    </row>
    <row r="959" spans="1:25" ht="15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6"/>
      <c r="T959" s="6"/>
      <c r="U959" s="6"/>
      <c r="V959" s="6"/>
      <c r="W959" s="6"/>
      <c r="X959" s="6"/>
      <c r="Y959" s="6"/>
    </row>
    <row r="960" spans="1:25" ht="15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6"/>
      <c r="T960" s="6"/>
      <c r="U960" s="6"/>
      <c r="V960" s="6"/>
      <c r="W960" s="6"/>
      <c r="X960" s="6"/>
      <c r="Y960" s="6"/>
    </row>
    <row r="961" spans="1:25" ht="15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6"/>
      <c r="T961" s="6"/>
      <c r="U961" s="6"/>
      <c r="V961" s="6"/>
      <c r="W961" s="6"/>
      <c r="X961" s="6"/>
      <c r="Y961" s="6"/>
    </row>
    <row r="962" spans="1:25" ht="15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6"/>
      <c r="T962" s="6"/>
      <c r="U962" s="6"/>
      <c r="V962" s="6"/>
      <c r="W962" s="6"/>
      <c r="X962" s="6"/>
      <c r="Y962" s="6"/>
    </row>
    <row r="963" spans="1:25" ht="15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6"/>
      <c r="T963" s="6"/>
      <c r="U963" s="6"/>
      <c r="V963" s="6"/>
      <c r="W963" s="6"/>
      <c r="X963" s="6"/>
      <c r="Y963" s="6"/>
    </row>
    <row r="964" spans="1:25" ht="15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6"/>
      <c r="T964" s="6"/>
      <c r="U964" s="6"/>
      <c r="V964" s="6"/>
      <c r="W964" s="6"/>
      <c r="X964" s="6"/>
      <c r="Y964" s="6"/>
    </row>
    <row r="965" spans="1:25" ht="15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6"/>
      <c r="T965" s="6"/>
      <c r="U965" s="6"/>
      <c r="V965" s="6"/>
      <c r="W965" s="6"/>
      <c r="X965" s="6"/>
      <c r="Y965" s="6"/>
    </row>
    <row r="966" spans="1:25" ht="15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6"/>
      <c r="T966" s="6"/>
      <c r="U966" s="6"/>
      <c r="V966" s="6"/>
      <c r="W966" s="6"/>
      <c r="X966" s="6"/>
      <c r="Y966" s="6"/>
    </row>
    <row r="967" spans="1:25" ht="15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6"/>
      <c r="T967" s="6"/>
      <c r="U967" s="6"/>
      <c r="V967" s="6"/>
      <c r="W967" s="6"/>
      <c r="X967" s="6"/>
      <c r="Y967" s="6"/>
    </row>
    <row r="968" spans="1:25" ht="15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6"/>
      <c r="T968" s="6"/>
      <c r="U968" s="6"/>
      <c r="V968" s="6"/>
      <c r="W968" s="6"/>
      <c r="X968" s="6"/>
      <c r="Y968" s="6"/>
    </row>
    <row r="969" spans="1:25" ht="15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6"/>
      <c r="T969" s="6"/>
      <c r="U969" s="6"/>
      <c r="V969" s="6"/>
      <c r="W969" s="6"/>
      <c r="X969" s="6"/>
      <c r="Y969" s="6"/>
    </row>
    <row r="970" spans="1:25" ht="15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6"/>
      <c r="T970" s="6"/>
      <c r="U970" s="6"/>
      <c r="V970" s="6"/>
      <c r="W970" s="6"/>
      <c r="X970" s="6"/>
      <c r="Y970" s="6"/>
    </row>
    <row r="971" spans="1:25" ht="15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6"/>
      <c r="T971" s="6"/>
      <c r="U971" s="6"/>
      <c r="V971" s="6"/>
      <c r="W971" s="6"/>
      <c r="X971" s="6"/>
      <c r="Y971" s="6"/>
    </row>
    <row r="972" spans="1:25" ht="15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6"/>
      <c r="T972" s="6"/>
      <c r="U972" s="6"/>
      <c r="V972" s="6"/>
      <c r="W972" s="6"/>
      <c r="X972" s="6"/>
      <c r="Y972" s="6"/>
    </row>
    <row r="973" spans="1:25" ht="15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6"/>
      <c r="T973" s="6"/>
      <c r="U973" s="6"/>
      <c r="V973" s="6"/>
      <c r="W973" s="6"/>
      <c r="X973" s="6"/>
      <c r="Y973" s="6"/>
    </row>
    <row r="974" spans="1:25" ht="15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6"/>
      <c r="T974" s="6"/>
      <c r="U974" s="6"/>
      <c r="V974" s="6"/>
      <c r="W974" s="6"/>
      <c r="X974" s="6"/>
      <c r="Y974" s="6"/>
    </row>
    <row r="975" spans="1:25" ht="15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6"/>
      <c r="T975" s="6"/>
      <c r="U975" s="6"/>
      <c r="V975" s="6"/>
      <c r="W975" s="6"/>
      <c r="X975" s="6"/>
      <c r="Y975" s="6"/>
    </row>
    <row r="976" spans="1:25" ht="15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6"/>
      <c r="T976" s="6"/>
      <c r="U976" s="6"/>
      <c r="V976" s="6"/>
      <c r="W976" s="6"/>
      <c r="X976" s="6"/>
      <c r="Y976" s="6"/>
    </row>
    <row r="977" spans="1:25" ht="15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6"/>
      <c r="T977" s="6"/>
      <c r="U977" s="6"/>
      <c r="V977" s="6"/>
      <c r="W977" s="6"/>
      <c r="X977" s="6"/>
      <c r="Y977" s="6"/>
    </row>
    <row r="978" spans="1:25" ht="15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6"/>
      <c r="T978" s="6"/>
      <c r="U978" s="6"/>
      <c r="V978" s="6"/>
      <c r="W978" s="6"/>
      <c r="X978" s="6"/>
      <c r="Y978" s="6"/>
    </row>
    <row r="979" spans="1:25" ht="15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6"/>
      <c r="T979" s="6"/>
      <c r="U979" s="6"/>
      <c r="V979" s="6"/>
      <c r="W979" s="6"/>
      <c r="X979" s="6"/>
      <c r="Y979" s="6"/>
    </row>
    <row r="980" spans="1:25" ht="15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6"/>
      <c r="T980" s="6"/>
      <c r="U980" s="6"/>
      <c r="V980" s="6"/>
      <c r="W980" s="6"/>
      <c r="X980" s="6"/>
      <c r="Y980" s="6"/>
    </row>
    <row r="981" spans="1:25" ht="15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6"/>
      <c r="T981" s="6"/>
      <c r="U981" s="6"/>
      <c r="V981" s="6"/>
      <c r="W981" s="6"/>
      <c r="X981" s="6"/>
      <c r="Y981" s="6"/>
    </row>
    <row r="982" spans="1:25" ht="15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6"/>
      <c r="T982" s="6"/>
      <c r="U982" s="6"/>
      <c r="V982" s="6"/>
      <c r="W982" s="6"/>
      <c r="X982" s="6"/>
      <c r="Y982" s="6"/>
    </row>
    <row r="983" spans="1:25" ht="15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6"/>
      <c r="T983" s="6"/>
      <c r="U983" s="6"/>
      <c r="V983" s="6"/>
      <c r="W983" s="6"/>
      <c r="X983" s="6"/>
      <c r="Y983" s="6"/>
    </row>
    <row r="984" spans="1:25" ht="15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6"/>
      <c r="T984" s="6"/>
      <c r="U984" s="6"/>
      <c r="V984" s="6"/>
      <c r="W984" s="6"/>
      <c r="X984" s="6"/>
      <c r="Y984" s="6"/>
    </row>
    <row r="985" spans="1:25" ht="15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6"/>
      <c r="T985" s="6"/>
      <c r="U985" s="6"/>
      <c r="V985" s="6"/>
      <c r="W985" s="6"/>
      <c r="X985" s="6"/>
      <c r="Y985" s="6"/>
    </row>
    <row r="986" spans="1:25" ht="15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6"/>
      <c r="T986" s="6"/>
      <c r="U986" s="6"/>
      <c r="V986" s="6"/>
      <c r="W986" s="6"/>
      <c r="X986" s="6"/>
      <c r="Y986" s="6"/>
    </row>
    <row r="987" spans="1:25" ht="15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6"/>
      <c r="T987" s="6"/>
      <c r="U987" s="6"/>
      <c r="V987" s="6"/>
      <c r="W987" s="6"/>
      <c r="X987" s="6"/>
      <c r="Y987" s="6"/>
    </row>
    <row r="988" spans="1:25" ht="15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6"/>
      <c r="T988" s="6"/>
      <c r="U988" s="6"/>
      <c r="V988" s="6"/>
      <c r="W988" s="6"/>
      <c r="X988" s="6"/>
      <c r="Y988" s="6"/>
    </row>
    <row r="989" spans="1:25" ht="15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6"/>
      <c r="T989" s="6"/>
      <c r="U989" s="6"/>
      <c r="V989" s="6"/>
      <c r="W989" s="6"/>
      <c r="X989" s="6"/>
      <c r="Y989" s="6"/>
    </row>
    <row r="990" spans="1:25" ht="15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6"/>
      <c r="T990" s="6"/>
      <c r="U990" s="6"/>
      <c r="V990" s="6"/>
      <c r="W990" s="6"/>
      <c r="X990" s="6"/>
      <c r="Y990" s="6"/>
    </row>
    <row r="991" spans="1:25" ht="15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6"/>
      <c r="T991" s="6"/>
      <c r="U991" s="6"/>
      <c r="V991" s="6"/>
      <c r="W991" s="6"/>
      <c r="X991" s="6"/>
      <c r="Y991" s="6"/>
    </row>
    <row r="992" spans="1:25" ht="15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6"/>
      <c r="T992" s="6"/>
      <c r="U992" s="6"/>
      <c r="V992" s="6"/>
      <c r="W992" s="6"/>
      <c r="X992" s="6"/>
      <c r="Y992" s="6"/>
    </row>
    <row r="993" spans="1:25" ht="15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6"/>
      <c r="T993" s="6"/>
      <c r="U993" s="6"/>
      <c r="V993" s="6"/>
      <c r="W993" s="6"/>
      <c r="X993" s="6"/>
      <c r="Y993" s="6"/>
    </row>
    <row r="994" spans="1:25" ht="15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6"/>
      <c r="T994" s="6"/>
      <c r="U994" s="6"/>
      <c r="V994" s="6"/>
      <c r="W994" s="6"/>
      <c r="X994" s="6"/>
      <c r="Y994" s="6"/>
    </row>
    <row r="995" spans="1:25" ht="15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6"/>
      <c r="T995" s="6"/>
      <c r="U995" s="6"/>
      <c r="V995" s="6"/>
      <c r="W995" s="6"/>
      <c r="X995" s="6"/>
      <c r="Y995" s="6"/>
    </row>
    <row r="996" spans="1:25" ht="15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6"/>
      <c r="T996" s="6"/>
      <c r="U996" s="6"/>
      <c r="V996" s="6"/>
      <c r="W996" s="6"/>
      <c r="X996" s="6"/>
      <c r="Y996" s="6"/>
    </row>
    <row r="997" spans="1:25" ht="15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6"/>
      <c r="T997" s="6"/>
      <c r="U997" s="6"/>
      <c r="V997" s="6"/>
      <c r="W997" s="6"/>
      <c r="X997" s="6"/>
      <c r="Y997" s="6"/>
    </row>
    <row r="998" spans="1:25" ht="15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6"/>
      <c r="T998" s="6"/>
      <c r="U998" s="6"/>
      <c r="V998" s="6"/>
      <c r="W998" s="6"/>
      <c r="X998" s="6"/>
      <c r="Y998" s="6"/>
    </row>
    <row r="999" spans="1:25" ht="15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6"/>
      <c r="T999" s="6"/>
      <c r="U999" s="6"/>
      <c r="V999" s="6"/>
      <c r="W999" s="6"/>
      <c r="X999" s="6"/>
      <c r="Y999" s="6"/>
    </row>
    <row r="1000" spans="1:25" ht="15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6"/>
      <c r="T1000" s="6"/>
      <c r="U1000" s="6"/>
      <c r="V1000" s="6"/>
      <c r="W1000" s="6"/>
      <c r="X1000" s="6"/>
      <c r="Y1000" s="6"/>
    </row>
  </sheetData>
  <autoFilter ref="A1:R442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tabla_edificios_radios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Olivera</cp:lastModifiedBy>
  <dcterms:created xsi:type="dcterms:W3CDTF">2025-06-09T16:23:13Z</dcterms:created>
  <dcterms:modified xsi:type="dcterms:W3CDTF">2026-06-25T11:49:11Z</dcterms:modified>
</cp:coreProperties>
</file>